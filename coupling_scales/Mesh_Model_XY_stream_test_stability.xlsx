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Onderwijs\SLM33306\2526\coupling_scales_2026\current_lectures\Coupling and Scales\practical_coupling_scales\workouts\Assignment_2_answers\"/>
    </mc:Choice>
  </mc:AlternateContent>
  <xr:revisionPtr revIDLastSave="0" documentId="13_ncr:1_{BA3C4021-7134-4AF8-8C6B-38DA3D29E571}" xr6:coauthVersionLast="47" xr6:coauthVersionMax="47" xr10:uidLastSave="{00000000-0000-0000-0000-000000000000}"/>
  <bookViews>
    <workbookView xWindow="1620" yWindow="4290" windowWidth="36780" windowHeight="15885" tabRatio="703" xr2:uid="{00000000-000D-0000-FFFF-FFFF00000000}"/>
  </bookViews>
  <sheets>
    <sheet name="H" sheetId="1" r:id="rId1"/>
    <sheet name="kd" sheetId="4" r:id="rId2"/>
    <sheet name="qext" sheetId="9" r:id="rId3"/>
    <sheet name="HorCap" sheetId="2" r:id="rId4"/>
    <sheet name="VerCap" sheetId="3" r:id="rId5"/>
    <sheet name="north" sheetId="8" r:id="rId6"/>
    <sheet name="east" sheetId="7" r:id="rId7"/>
    <sheet name="south" sheetId="6" r:id="rId8"/>
    <sheet name="west" sheetId="5" r:id="rId9"/>
    <sheet name="Qwest" sheetId="11" r:id="rId10"/>
    <sheet name="Qnorth" sheetId="13" r:id="rId11"/>
    <sheet name="Qsouth" sheetId="12" r:id="rId12"/>
    <sheet name="Qeast" sheetId="14" r:id="rId13"/>
    <sheet name="wbal" sheetId="10" r:id="rId14"/>
  </sheets>
  <definedNames>
    <definedName name="man">H!$C$32</definedName>
    <definedName name="relaxf">H!$F$3</definedName>
    <definedName name="resist">H!$C$26</definedName>
    <definedName name="So">H!$C$29</definedName>
    <definedName name="well">qext!$C$6</definedName>
    <definedName name="width">H!$C$24</definedName>
  </definedNames>
  <calcPr calcId="191029" calcMode="manual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" i="1" l="1"/>
  <c r="M5" i="1"/>
  <c r="M3" i="1"/>
  <c r="G13" i="9"/>
  <c r="M29" i="1"/>
  <c r="L29" i="1"/>
  <c r="K29" i="1"/>
  <c r="J29" i="1"/>
  <c r="I29" i="1"/>
  <c r="H29" i="1"/>
  <c r="G29" i="1"/>
  <c r="F29" i="1"/>
  <c r="E29" i="1"/>
  <c r="D29" i="1"/>
  <c r="M24" i="1"/>
  <c r="L24" i="1"/>
  <c r="K24" i="1"/>
  <c r="J24" i="1"/>
  <c r="I24" i="1"/>
  <c r="H24" i="1"/>
  <c r="G24" i="1"/>
  <c r="F24" i="1"/>
  <c r="E24" i="1"/>
  <c r="D24" i="1"/>
  <c r="M26" i="1"/>
  <c r="L26" i="1"/>
  <c r="K26" i="1"/>
  <c r="J26" i="1"/>
  <c r="I26" i="1"/>
  <c r="H26" i="1"/>
  <c r="G26" i="1"/>
  <c r="F26" i="1"/>
  <c r="E26" i="1"/>
  <c r="D26" i="1"/>
  <c r="C26" i="1"/>
  <c r="M25" i="1"/>
  <c r="M34" i="1" s="1"/>
  <c r="L25" i="1"/>
  <c r="L34" i="1" s="1"/>
  <c r="K25" i="1"/>
  <c r="K34" i="1" s="1"/>
  <c r="J25" i="1"/>
  <c r="J34" i="1" s="1"/>
  <c r="I25" i="1"/>
  <c r="I34" i="1" s="1"/>
  <c r="H25" i="1"/>
  <c r="H34" i="1" s="1"/>
  <c r="G25" i="1"/>
  <c r="G34" i="1" s="1"/>
  <c r="F25" i="1"/>
  <c r="F34" i="1" s="1"/>
  <c r="E25" i="1"/>
  <c r="E34" i="1" s="1"/>
  <c r="D25" i="1"/>
  <c r="D34" i="1" s="1"/>
  <c r="C25" i="1"/>
  <c r="M20" i="9"/>
  <c r="L20" i="9"/>
  <c r="K20" i="9"/>
  <c r="J20" i="9"/>
  <c r="I20" i="9"/>
  <c r="H20" i="9"/>
  <c r="G20" i="9"/>
  <c r="F20" i="9"/>
  <c r="E20" i="9"/>
  <c r="D20" i="9"/>
  <c r="M19" i="9"/>
  <c r="L19" i="9"/>
  <c r="K19" i="9"/>
  <c r="J19" i="9"/>
  <c r="I19" i="9"/>
  <c r="H19" i="9"/>
  <c r="G19" i="9"/>
  <c r="F19" i="9"/>
  <c r="E19" i="9"/>
  <c r="D19" i="9"/>
  <c r="M18" i="9"/>
  <c r="L18" i="9"/>
  <c r="K18" i="9"/>
  <c r="J18" i="9"/>
  <c r="I18" i="9"/>
  <c r="H18" i="9"/>
  <c r="G18" i="9"/>
  <c r="F18" i="9"/>
  <c r="E18" i="9"/>
  <c r="D18" i="9"/>
  <c r="M17" i="9"/>
  <c r="L17" i="9"/>
  <c r="K17" i="9"/>
  <c r="J17" i="9"/>
  <c r="I17" i="9"/>
  <c r="H17" i="9"/>
  <c r="G17" i="9"/>
  <c r="F17" i="9"/>
  <c r="E17" i="9"/>
  <c r="D17" i="9"/>
  <c r="M16" i="9"/>
  <c r="L16" i="9"/>
  <c r="K16" i="9"/>
  <c r="J16" i="9"/>
  <c r="I16" i="9"/>
  <c r="H16" i="9"/>
  <c r="G16" i="9"/>
  <c r="F16" i="9"/>
  <c r="E16" i="9"/>
  <c r="D16" i="9"/>
  <c r="M15" i="9"/>
  <c r="L15" i="9"/>
  <c r="K15" i="9"/>
  <c r="J15" i="9"/>
  <c r="I15" i="9"/>
  <c r="H15" i="9"/>
  <c r="G15" i="9"/>
  <c r="F15" i="9"/>
  <c r="E15" i="9"/>
  <c r="D15" i="9"/>
  <c r="M14" i="9"/>
  <c r="L14" i="9"/>
  <c r="K14" i="9"/>
  <c r="J14" i="9"/>
  <c r="I14" i="9"/>
  <c r="H14" i="9"/>
  <c r="G14" i="9"/>
  <c r="F14" i="9"/>
  <c r="E14" i="9"/>
  <c r="D14" i="9"/>
  <c r="M13" i="9"/>
  <c r="L13" i="9"/>
  <c r="K13" i="9"/>
  <c r="J13" i="9"/>
  <c r="I13" i="9"/>
  <c r="H13" i="9"/>
  <c r="F13" i="9"/>
  <c r="E13" i="9"/>
  <c r="D13" i="9"/>
  <c r="M12" i="9"/>
  <c r="L12" i="9"/>
  <c r="K12" i="9"/>
  <c r="J12" i="9"/>
  <c r="I12" i="9"/>
  <c r="H12" i="9"/>
  <c r="G12" i="9"/>
  <c r="F12" i="9"/>
  <c r="E12" i="9"/>
  <c r="D12" i="9"/>
  <c r="M11" i="9"/>
  <c r="L11" i="9"/>
  <c r="K11" i="9"/>
  <c r="J11" i="9"/>
  <c r="I11" i="9"/>
  <c r="H11" i="9"/>
  <c r="G11" i="9"/>
  <c r="F11" i="9"/>
  <c r="E11" i="9"/>
  <c r="D11" i="9"/>
  <c r="M10" i="9"/>
  <c r="L10" i="9"/>
  <c r="K10" i="9"/>
  <c r="J10" i="9"/>
  <c r="I10" i="9"/>
  <c r="H10" i="9"/>
  <c r="G10" i="9"/>
  <c r="F10" i="9"/>
  <c r="E10" i="9"/>
  <c r="D10" i="9"/>
  <c r="C20" i="5" l="1"/>
  <c r="C20" i="11" s="1"/>
  <c r="C19" i="5"/>
  <c r="C19" i="11" s="1"/>
  <c r="C18" i="5"/>
  <c r="C18" i="11" s="1"/>
  <c r="C17" i="5"/>
  <c r="C17" i="11" s="1"/>
  <c r="C16" i="5"/>
  <c r="C16" i="11" s="1"/>
  <c r="C15" i="5"/>
  <c r="C15" i="11" s="1"/>
  <c r="C14" i="5"/>
  <c r="C14" i="11" s="1"/>
  <c r="C13" i="5"/>
  <c r="C13" i="11" s="1"/>
  <c r="C12" i="5"/>
  <c r="C12" i="11" s="1"/>
  <c r="C11" i="5"/>
  <c r="C11" i="11" s="1"/>
  <c r="F20" i="6"/>
  <c r="M17" i="7"/>
  <c r="M10" i="7"/>
  <c r="M10" i="8"/>
  <c r="L10" i="8"/>
  <c r="K10" i="8"/>
  <c r="J10" i="8"/>
  <c r="I10" i="8"/>
  <c r="H10" i="8"/>
  <c r="G10" i="8"/>
  <c r="F10" i="8"/>
  <c r="E10" i="8"/>
  <c r="D10" i="8"/>
  <c r="M20" i="6"/>
  <c r="K20" i="6"/>
  <c r="G20" i="6"/>
  <c r="E20" i="6"/>
  <c r="L19" i="3"/>
  <c r="K19" i="3"/>
  <c r="J19" i="3"/>
  <c r="K20" i="8" s="1"/>
  <c r="I19" i="3"/>
  <c r="H19" i="3"/>
  <c r="G19" i="3"/>
  <c r="F19" i="3"/>
  <c r="E19" i="3"/>
  <c r="D19" i="3"/>
  <c r="C19" i="3"/>
  <c r="C20" i="8" s="1"/>
  <c r="C20" i="13" s="1"/>
  <c r="L18" i="3"/>
  <c r="K18" i="3"/>
  <c r="J18" i="3"/>
  <c r="I18" i="3"/>
  <c r="H18" i="3"/>
  <c r="G18" i="3"/>
  <c r="F18" i="3"/>
  <c r="E18" i="3"/>
  <c r="F19" i="8" s="1"/>
  <c r="D18" i="3"/>
  <c r="C18" i="3"/>
  <c r="L17" i="3"/>
  <c r="K17" i="3"/>
  <c r="J17" i="3"/>
  <c r="I17" i="3"/>
  <c r="H17" i="3"/>
  <c r="G17" i="3"/>
  <c r="F17" i="3"/>
  <c r="G18" i="8" s="1"/>
  <c r="E17" i="3"/>
  <c r="F18" i="8" s="1"/>
  <c r="D17" i="3"/>
  <c r="C17" i="3"/>
  <c r="L16" i="3"/>
  <c r="M16" i="6" s="1"/>
  <c r="K16" i="3"/>
  <c r="J16" i="3"/>
  <c r="I16" i="3"/>
  <c r="H16" i="3"/>
  <c r="G16" i="3"/>
  <c r="F16" i="3"/>
  <c r="E16" i="3"/>
  <c r="D16" i="3"/>
  <c r="C16" i="3"/>
  <c r="L15" i="3"/>
  <c r="K15" i="3"/>
  <c r="J15" i="3"/>
  <c r="I15" i="3"/>
  <c r="H15" i="3"/>
  <c r="G15" i="3"/>
  <c r="F15" i="3"/>
  <c r="E15" i="3"/>
  <c r="D15" i="3"/>
  <c r="C15" i="3"/>
  <c r="C15" i="6" s="1"/>
  <c r="C15" i="12" s="1"/>
  <c r="L14" i="3"/>
  <c r="M15" i="8" s="1"/>
  <c r="K14" i="3"/>
  <c r="J14" i="3"/>
  <c r="I14" i="3"/>
  <c r="H14" i="3"/>
  <c r="G14" i="3"/>
  <c r="F14" i="3"/>
  <c r="E14" i="3"/>
  <c r="E14" i="6" s="1"/>
  <c r="D14" i="3"/>
  <c r="C14" i="3"/>
  <c r="L13" i="3"/>
  <c r="K13" i="3"/>
  <c r="J13" i="3"/>
  <c r="I13" i="3"/>
  <c r="H13" i="3"/>
  <c r="G13" i="3"/>
  <c r="F13" i="3"/>
  <c r="E13" i="3"/>
  <c r="D13" i="3"/>
  <c r="C13" i="3"/>
  <c r="C14" i="8" s="1"/>
  <c r="C14" i="13" s="1"/>
  <c r="L12" i="3"/>
  <c r="M12" i="6" s="1"/>
  <c r="K12" i="3"/>
  <c r="J12" i="3"/>
  <c r="I12" i="3"/>
  <c r="H12" i="3"/>
  <c r="G12" i="3"/>
  <c r="F12" i="3"/>
  <c r="E12" i="3"/>
  <c r="D12" i="3"/>
  <c r="C12" i="3"/>
  <c r="D13" i="8" s="1"/>
  <c r="L11" i="3"/>
  <c r="K11" i="3"/>
  <c r="J11" i="3"/>
  <c r="I11" i="3"/>
  <c r="H11" i="3"/>
  <c r="G11" i="3"/>
  <c r="H11" i="6" s="1"/>
  <c r="F11" i="3"/>
  <c r="E11" i="3"/>
  <c r="D11" i="3"/>
  <c r="C11" i="3"/>
  <c r="C12" i="8" s="1"/>
  <c r="C12" i="13" s="1"/>
  <c r="L10" i="3"/>
  <c r="M10" i="6" s="1"/>
  <c r="K10" i="3"/>
  <c r="K10" i="6" s="1"/>
  <c r="J10" i="3"/>
  <c r="I10" i="3"/>
  <c r="H10" i="3"/>
  <c r="G10" i="3"/>
  <c r="F10" i="3"/>
  <c r="E10" i="3"/>
  <c r="D10" i="3"/>
  <c r="L19" i="2"/>
  <c r="K19" i="2"/>
  <c r="J19" i="2"/>
  <c r="I19" i="2"/>
  <c r="H19" i="2"/>
  <c r="I20" i="5" s="1"/>
  <c r="G19" i="2"/>
  <c r="F19" i="2"/>
  <c r="G20" i="5" s="1"/>
  <c r="E19" i="2"/>
  <c r="E20" i="7" s="1"/>
  <c r="D19" i="2"/>
  <c r="C19" i="2"/>
  <c r="L18" i="2"/>
  <c r="K18" i="2"/>
  <c r="J18" i="2"/>
  <c r="I18" i="2"/>
  <c r="H18" i="2"/>
  <c r="G18" i="2"/>
  <c r="F18" i="2"/>
  <c r="E18" i="2"/>
  <c r="D18" i="2"/>
  <c r="C18" i="2"/>
  <c r="L17" i="2"/>
  <c r="K17" i="2"/>
  <c r="J17" i="2"/>
  <c r="I17" i="2"/>
  <c r="H17" i="2"/>
  <c r="G17" i="2"/>
  <c r="F17" i="2"/>
  <c r="E17" i="2"/>
  <c r="D17" i="2"/>
  <c r="C17" i="2"/>
  <c r="L16" i="2"/>
  <c r="K16" i="2"/>
  <c r="J16" i="2"/>
  <c r="I16" i="2"/>
  <c r="H16" i="2"/>
  <c r="G16" i="2"/>
  <c r="F16" i="2"/>
  <c r="E16" i="2"/>
  <c r="D16" i="2"/>
  <c r="C16" i="2"/>
  <c r="M15" i="7"/>
  <c r="L15" i="2"/>
  <c r="K15" i="2"/>
  <c r="J15" i="2"/>
  <c r="I15" i="2"/>
  <c r="H15" i="2"/>
  <c r="G15" i="2"/>
  <c r="F15" i="2"/>
  <c r="E15" i="2"/>
  <c r="D15" i="2"/>
  <c r="C15" i="2"/>
  <c r="L14" i="2"/>
  <c r="K14" i="2"/>
  <c r="J14" i="2"/>
  <c r="I14" i="2"/>
  <c r="H14" i="2"/>
  <c r="G14" i="2"/>
  <c r="F14" i="2"/>
  <c r="E14" i="2"/>
  <c r="D14" i="2"/>
  <c r="C14" i="2"/>
  <c r="L13" i="2"/>
  <c r="K13" i="2"/>
  <c r="J13" i="2"/>
  <c r="I13" i="2"/>
  <c r="I13" i="7" s="1"/>
  <c r="H13" i="2"/>
  <c r="G13" i="2"/>
  <c r="F13" i="2"/>
  <c r="G14" i="5" s="1"/>
  <c r="E13" i="2"/>
  <c r="D13" i="2"/>
  <c r="C13" i="2"/>
  <c r="M12" i="7"/>
  <c r="L12" i="2"/>
  <c r="K12" i="2"/>
  <c r="J12" i="2"/>
  <c r="I12" i="2"/>
  <c r="I12" i="7" s="1"/>
  <c r="H12" i="2"/>
  <c r="G12" i="2"/>
  <c r="F12" i="2"/>
  <c r="E12" i="2"/>
  <c r="D12" i="2"/>
  <c r="C12" i="2"/>
  <c r="L11" i="2"/>
  <c r="K11" i="2"/>
  <c r="J11" i="2"/>
  <c r="J11" i="7" s="1"/>
  <c r="I11" i="2"/>
  <c r="I11" i="7" s="1"/>
  <c r="H11" i="2"/>
  <c r="G11" i="2"/>
  <c r="F11" i="2"/>
  <c r="E11" i="2"/>
  <c r="D11" i="2"/>
  <c r="C11" i="2"/>
  <c r="L10" i="2"/>
  <c r="K10" i="2"/>
  <c r="J10" i="2"/>
  <c r="I10" i="2"/>
  <c r="I10" i="7" s="1"/>
  <c r="H10" i="2"/>
  <c r="G10" i="2"/>
  <c r="F10" i="2"/>
  <c r="G10" i="5" s="1"/>
  <c r="E10" i="2"/>
  <c r="D10" i="2"/>
  <c r="E10" i="5" s="1"/>
  <c r="C4" i="9"/>
  <c r="K3" i="1" s="1"/>
  <c r="L5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D8" i="1"/>
  <c r="B3" i="1"/>
  <c r="B4" i="1"/>
  <c r="C10" i="8"/>
  <c r="C10" i="13" s="1"/>
  <c r="C10" i="5"/>
  <c r="C10" i="11" s="1"/>
  <c r="C10" i="2"/>
  <c r="C10" i="3"/>
  <c r="M14" i="5" l="1"/>
  <c r="G18" i="6"/>
  <c r="G14" i="6"/>
  <c r="K12" i="6"/>
  <c r="E8" i="1"/>
  <c r="F8" i="1" s="1"/>
  <c r="G8" i="1" s="1"/>
  <c r="H8" i="1" s="1"/>
  <c r="I8" i="1" s="1"/>
  <c r="J8" i="1" s="1"/>
  <c r="K8" i="1" s="1"/>
  <c r="L8" i="1" s="1"/>
  <c r="M8" i="1" s="1"/>
  <c r="D30" i="1"/>
  <c r="G13" i="8"/>
  <c r="E11" i="8"/>
  <c r="E16" i="6"/>
  <c r="K19" i="6"/>
  <c r="J17" i="5"/>
  <c r="M18" i="5"/>
  <c r="K18" i="8"/>
  <c r="F13" i="5"/>
  <c r="C16" i="8"/>
  <c r="C16" i="13" s="1"/>
  <c r="K17" i="8"/>
  <c r="D19" i="8"/>
  <c r="K15" i="5"/>
  <c r="L12" i="8"/>
  <c r="I18" i="8"/>
  <c r="K18" i="6"/>
  <c r="J14" i="5"/>
  <c r="G15" i="6"/>
  <c r="I16" i="7"/>
  <c r="L14" i="7"/>
  <c r="L17" i="7"/>
  <c r="I12" i="5"/>
  <c r="G18" i="5"/>
  <c r="I15" i="6"/>
  <c r="K16" i="6"/>
  <c r="M15" i="5"/>
  <c r="G12" i="5"/>
  <c r="F12" i="6"/>
  <c r="K15" i="6"/>
  <c r="F19" i="6"/>
  <c r="M13" i="5"/>
  <c r="G16" i="5"/>
  <c r="M12" i="5"/>
  <c r="F15" i="5"/>
  <c r="F11" i="8"/>
  <c r="I13" i="6"/>
  <c r="E18" i="6"/>
  <c r="G10" i="6"/>
  <c r="I12" i="8"/>
  <c r="F17" i="8"/>
  <c r="H11" i="5"/>
  <c r="G10" i="7"/>
  <c r="H10" i="5"/>
  <c r="L12" i="5"/>
  <c r="K11" i="7"/>
  <c r="H13" i="5"/>
  <c r="G12" i="7"/>
  <c r="G13" i="7"/>
  <c r="C15" i="7"/>
  <c r="D16" i="5"/>
  <c r="K13" i="7"/>
  <c r="L14" i="5"/>
  <c r="D18" i="5"/>
  <c r="C17" i="7"/>
  <c r="C18" i="7"/>
  <c r="C19" i="7"/>
  <c r="D20" i="5"/>
  <c r="D11" i="8"/>
  <c r="C11" i="8"/>
  <c r="C11" i="13" s="1"/>
  <c r="C10" i="6"/>
  <c r="C10" i="12" s="1"/>
  <c r="D12" i="5"/>
  <c r="C11" i="7"/>
  <c r="C13" i="7"/>
  <c r="D14" i="5"/>
  <c r="H15" i="5"/>
  <c r="G14" i="7"/>
  <c r="G15" i="7"/>
  <c r="K15" i="7"/>
  <c r="L16" i="5"/>
  <c r="K16" i="7"/>
  <c r="H17" i="5"/>
  <c r="G16" i="7"/>
  <c r="L18" i="5"/>
  <c r="K17" i="7"/>
  <c r="H19" i="5"/>
  <c r="G18" i="7"/>
  <c r="L20" i="5"/>
  <c r="K20" i="7"/>
  <c r="K19" i="7"/>
  <c r="G20" i="7"/>
  <c r="H10" i="6"/>
  <c r="I11" i="8"/>
  <c r="H11" i="8"/>
  <c r="D11" i="6"/>
  <c r="E12" i="8"/>
  <c r="L11" i="6"/>
  <c r="M12" i="8"/>
  <c r="H12" i="6"/>
  <c r="I13" i="8"/>
  <c r="E14" i="8"/>
  <c r="D13" i="6"/>
  <c r="M14" i="8"/>
  <c r="L13" i="6"/>
  <c r="H14" i="6"/>
  <c r="I15" i="8"/>
  <c r="H15" i="8"/>
  <c r="D15" i="6"/>
  <c r="E16" i="8"/>
  <c r="D16" i="8"/>
  <c r="L15" i="6"/>
  <c r="M16" i="8"/>
  <c r="L16" i="8"/>
  <c r="H16" i="6"/>
  <c r="I17" i="8"/>
  <c r="D17" i="6"/>
  <c r="E18" i="8"/>
  <c r="L17" i="6"/>
  <c r="M18" i="8"/>
  <c r="H18" i="6"/>
  <c r="I19" i="8"/>
  <c r="D19" i="6"/>
  <c r="E20" i="8"/>
  <c r="L19" i="6"/>
  <c r="M20" i="8"/>
  <c r="H20" i="6"/>
  <c r="I10" i="5"/>
  <c r="H10" i="7"/>
  <c r="E12" i="5"/>
  <c r="D11" i="7"/>
  <c r="H12" i="7"/>
  <c r="I13" i="5"/>
  <c r="E14" i="5"/>
  <c r="D13" i="7"/>
  <c r="H14" i="7"/>
  <c r="I15" i="5"/>
  <c r="E16" i="5"/>
  <c r="D15" i="7"/>
  <c r="M16" i="5"/>
  <c r="L15" i="7"/>
  <c r="I17" i="5"/>
  <c r="H16" i="7"/>
  <c r="E18" i="5"/>
  <c r="H18" i="7"/>
  <c r="E20" i="5"/>
  <c r="D19" i="7"/>
  <c r="M20" i="5"/>
  <c r="L19" i="7"/>
  <c r="H20" i="7"/>
  <c r="I10" i="6"/>
  <c r="E11" i="6"/>
  <c r="M11" i="6"/>
  <c r="J13" i="8"/>
  <c r="I12" i="6"/>
  <c r="E13" i="6"/>
  <c r="M13" i="6"/>
  <c r="I14" i="6"/>
  <c r="F16" i="8"/>
  <c r="E15" i="6"/>
  <c r="I16" i="6"/>
  <c r="M17" i="6"/>
  <c r="I18" i="6"/>
  <c r="E19" i="6"/>
  <c r="F20" i="8"/>
  <c r="M19" i="6"/>
  <c r="I20" i="6"/>
  <c r="J15" i="8"/>
  <c r="L17" i="8"/>
  <c r="L11" i="7"/>
  <c r="L12" i="7"/>
  <c r="J14" i="7"/>
  <c r="J15" i="7"/>
  <c r="J11" i="5"/>
  <c r="J10" i="5"/>
  <c r="F12" i="5"/>
  <c r="E11" i="7"/>
  <c r="M11" i="7"/>
  <c r="J13" i="5"/>
  <c r="E13" i="7"/>
  <c r="F14" i="5"/>
  <c r="M13" i="7"/>
  <c r="J15" i="5"/>
  <c r="I14" i="7"/>
  <c r="F16" i="5"/>
  <c r="E15" i="7"/>
  <c r="E17" i="7"/>
  <c r="F18" i="5"/>
  <c r="J19" i="5"/>
  <c r="F20" i="5"/>
  <c r="E19" i="7"/>
  <c r="M19" i="7"/>
  <c r="J10" i="6"/>
  <c r="K11" i="8"/>
  <c r="F11" i="6"/>
  <c r="J12" i="6"/>
  <c r="G14" i="8"/>
  <c r="J14" i="6"/>
  <c r="K15" i="8"/>
  <c r="F15" i="6"/>
  <c r="G16" i="8"/>
  <c r="J16" i="6"/>
  <c r="F17" i="6"/>
  <c r="J18" i="6"/>
  <c r="J20" i="6"/>
  <c r="K13" i="8"/>
  <c r="D14" i="8"/>
  <c r="H19" i="8"/>
  <c r="L13" i="7"/>
  <c r="K11" i="6"/>
  <c r="C13" i="6"/>
  <c r="C13" i="12" s="1"/>
  <c r="J12" i="5"/>
  <c r="K10" i="5"/>
  <c r="K11" i="5"/>
  <c r="J10" i="7"/>
  <c r="K13" i="5"/>
  <c r="J12" i="7"/>
  <c r="K17" i="5"/>
  <c r="J16" i="7"/>
  <c r="K19" i="5"/>
  <c r="J18" i="7"/>
  <c r="J20" i="7"/>
  <c r="G11" i="6"/>
  <c r="H12" i="8"/>
  <c r="G13" i="6"/>
  <c r="H14" i="8"/>
  <c r="C14" i="6"/>
  <c r="C14" i="12" s="1"/>
  <c r="C15" i="8"/>
  <c r="C15" i="13" s="1"/>
  <c r="K14" i="6"/>
  <c r="L15" i="8"/>
  <c r="C16" i="6"/>
  <c r="C16" i="12" s="1"/>
  <c r="D17" i="8"/>
  <c r="G17" i="6"/>
  <c r="H18" i="8"/>
  <c r="C18" i="6"/>
  <c r="C18" i="12" s="1"/>
  <c r="C19" i="8"/>
  <c r="C19" i="13" s="1"/>
  <c r="G19" i="6"/>
  <c r="H20" i="8"/>
  <c r="C20" i="6"/>
  <c r="C20" i="12" s="1"/>
  <c r="J11" i="8"/>
  <c r="L13" i="8"/>
  <c r="F14" i="8"/>
  <c r="H16" i="8"/>
  <c r="J19" i="8"/>
  <c r="F13" i="6"/>
  <c r="K12" i="5"/>
  <c r="L11" i="5"/>
  <c r="L10" i="5"/>
  <c r="K10" i="7"/>
  <c r="H12" i="5"/>
  <c r="G11" i="7"/>
  <c r="D13" i="5"/>
  <c r="C12" i="7"/>
  <c r="L13" i="5"/>
  <c r="K12" i="7"/>
  <c r="H14" i="5"/>
  <c r="C14" i="7"/>
  <c r="L15" i="5"/>
  <c r="K14" i="7"/>
  <c r="H16" i="5"/>
  <c r="D17" i="5"/>
  <c r="C16" i="7"/>
  <c r="L17" i="5"/>
  <c r="H18" i="5"/>
  <c r="G17" i="7"/>
  <c r="D19" i="5"/>
  <c r="L19" i="5"/>
  <c r="K18" i="7"/>
  <c r="G19" i="7"/>
  <c r="H20" i="5"/>
  <c r="C20" i="7"/>
  <c r="D10" i="6"/>
  <c r="M11" i="8"/>
  <c r="E13" i="8"/>
  <c r="D12" i="6"/>
  <c r="M13" i="8"/>
  <c r="L12" i="6"/>
  <c r="H13" i="6"/>
  <c r="E15" i="8"/>
  <c r="D14" i="6"/>
  <c r="L14" i="6"/>
  <c r="H15" i="6"/>
  <c r="I16" i="8"/>
  <c r="D16" i="6"/>
  <c r="L16" i="6"/>
  <c r="M17" i="8"/>
  <c r="H17" i="6"/>
  <c r="E19" i="8"/>
  <c r="D18" i="6"/>
  <c r="L18" i="6"/>
  <c r="M19" i="8"/>
  <c r="H19" i="6"/>
  <c r="I20" i="8"/>
  <c r="D20" i="6"/>
  <c r="L20" i="6"/>
  <c r="L11" i="8"/>
  <c r="F12" i="8"/>
  <c r="I14" i="8"/>
  <c r="J16" i="8"/>
  <c r="C17" i="8"/>
  <c r="C17" i="13" s="1"/>
  <c r="K19" i="8"/>
  <c r="G20" i="8"/>
  <c r="F19" i="7"/>
  <c r="I20" i="7"/>
  <c r="E10" i="6"/>
  <c r="E17" i="6"/>
  <c r="D10" i="7"/>
  <c r="E11" i="5"/>
  <c r="E13" i="5"/>
  <c r="D12" i="7"/>
  <c r="I14" i="5"/>
  <c r="H13" i="7"/>
  <c r="L16" i="7"/>
  <c r="M17" i="5"/>
  <c r="L18" i="7"/>
  <c r="M19" i="5"/>
  <c r="L20" i="7"/>
  <c r="M14" i="6"/>
  <c r="I17" i="6"/>
  <c r="J18" i="8"/>
  <c r="G12" i="8"/>
  <c r="D15" i="8"/>
  <c r="L19" i="8"/>
  <c r="H19" i="7"/>
  <c r="L10" i="6"/>
  <c r="C12" i="6"/>
  <c r="C12" i="12" s="1"/>
  <c r="M15" i="6"/>
  <c r="G11" i="5"/>
  <c r="F11" i="5"/>
  <c r="F10" i="5"/>
  <c r="E10" i="7"/>
  <c r="M14" i="7"/>
  <c r="J16" i="5"/>
  <c r="I15" i="7"/>
  <c r="F17" i="5"/>
  <c r="E16" i="7"/>
  <c r="M16" i="7"/>
  <c r="J18" i="5"/>
  <c r="I17" i="7"/>
  <c r="F19" i="5"/>
  <c r="E18" i="7"/>
  <c r="M18" i="7"/>
  <c r="J20" i="5"/>
  <c r="I19" i="7"/>
  <c r="M20" i="7"/>
  <c r="F10" i="6"/>
  <c r="G11" i="8"/>
  <c r="J11" i="6"/>
  <c r="K12" i="8"/>
  <c r="J13" i="6"/>
  <c r="F14" i="6"/>
  <c r="J15" i="6"/>
  <c r="K16" i="8"/>
  <c r="F16" i="6"/>
  <c r="J17" i="6"/>
  <c r="G19" i="8"/>
  <c r="F18" i="6"/>
  <c r="J19" i="6"/>
  <c r="C13" i="8"/>
  <c r="C13" i="13" s="1"/>
  <c r="K14" i="8"/>
  <c r="F15" i="8"/>
  <c r="G17" i="8"/>
  <c r="L20" i="8"/>
  <c r="F10" i="7"/>
  <c r="F11" i="7"/>
  <c r="E12" i="7"/>
  <c r="D17" i="7"/>
  <c r="I11" i="5"/>
  <c r="D11" i="5"/>
  <c r="D10" i="5"/>
  <c r="L10" i="7"/>
  <c r="M11" i="5"/>
  <c r="M10" i="5"/>
  <c r="E15" i="5"/>
  <c r="D14" i="7"/>
  <c r="I16" i="5"/>
  <c r="H15" i="7"/>
  <c r="D16" i="7"/>
  <c r="E17" i="5"/>
  <c r="I18" i="5"/>
  <c r="H17" i="7"/>
  <c r="E19" i="5"/>
  <c r="D18" i="7"/>
  <c r="D20" i="7"/>
  <c r="I11" i="6"/>
  <c r="J12" i="8"/>
  <c r="E12" i="6"/>
  <c r="F13" i="8"/>
  <c r="M18" i="6"/>
  <c r="I19" i="6"/>
  <c r="J20" i="8"/>
  <c r="J14" i="8"/>
  <c r="E17" i="8"/>
  <c r="G13" i="5"/>
  <c r="K14" i="5"/>
  <c r="J13" i="7"/>
  <c r="G15" i="5"/>
  <c r="F14" i="7"/>
  <c r="K16" i="5"/>
  <c r="F16" i="7"/>
  <c r="G17" i="5"/>
  <c r="K18" i="5"/>
  <c r="J17" i="7"/>
  <c r="G19" i="5"/>
  <c r="F18" i="7"/>
  <c r="K20" i="5"/>
  <c r="J19" i="7"/>
  <c r="F20" i="7"/>
  <c r="C11" i="6"/>
  <c r="C11" i="12" s="1"/>
  <c r="D12" i="8"/>
  <c r="G12" i="6"/>
  <c r="H13" i="8"/>
  <c r="K13" i="6"/>
  <c r="L14" i="8"/>
  <c r="G16" i="6"/>
  <c r="H17" i="8"/>
  <c r="D18" i="8"/>
  <c r="C17" i="6"/>
  <c r="C17" i="12" s="1"/>
  <c r="C18" i="8"/>
  <c r="C18" i="13" s="1"/>
  <c r="K17" i="6"/>
  <c r="L18" i="8"/>
  <c r="C19" i="6"/>
  <c r="C19" i="12" s="1"/>
  <c r="D20" i="8"/>
  <c r="G15" i="8"/>
  <c r="J17" i="8"/>
  <c r="H11" i="7"/>
  <c r="F12" i="7"/>
  <c r="F13" i="7"/>
  <c r="E14" i="7"/>
  <c r="F15" i="7"/>
  <c r="F17" i="7"/>
  <c r="I18" i="7"/>
  <c r="D15" i="5"/>
  <c r="I19" i="5"/>
  <c r="C10" i="7"/>
  <c r="E30" i="1" l="1"/>
  <c r="F30" i="1" l="1"/>
  <c r="G30" i="1" l="1"/>
  <c r="H30" i="1" l="1"/>
  <c r="I30" i="1" l="1"/>
  <c r="J30" i="1" l="1"/>
  <c r="K30" i="1" l="1"/>
  <c r="L30" i="1" l="1"/>
  <c r="M30" i="1" l="1"/>
  <c r="H1" i="1" l="1"/>
  <c r="F2" i="1"/>
  <c r="G2" i="1"/>
  <c r="H2" i="1"/>
  <c r="K4" i="1"/>
  <c r="L4" i="1"/>
  <c r="M4" i="1"/>
  <c r="K6" i="1"/>
  <c r="L6" i="1"/>
  <c r="M6" i="1"/>
  <c r="K7" i="1"/>
  <c r="L7" i="1"/>
  <c r="M7" i="1"/>
  <c r="D10" i="1"/>
  <c r="E10" i="1"/>
  <c r="F10" i="1"/>
  <c r="G10" i="1"/>
  <c r="H10" i="1"/>
  <c r="I10" i="1"/>
  <c r="J10" i="1"/>
  <c r="K10" i="1"/>
  <c r="L10" i="1"/>
  <c r="M10" i="1"/>
  <c r="D11" i="1"/>
  <c r="E11" i="1"/>
  <c r="F11" i="1"/>
  <c r="G11" i="1"/>
  <c r="H11" i="1"/>
  <c r="I11" i="1"/>
  <c r="J11" i="1"/>
  <c r="K11" i="1"/>
  <c r="L11" i="1"/>
  <c r="M11" i="1"/>
  <c r="D12" i="1"/>
  <c r="E12" i="1"/>
  <c r="F12" i="1"/>
  <c r="G12" i="1"/>
  <c r="H12" i="1"/>
  <c r="I12" i="1"/>
  <c r="J12" i="1"/>
  <c r="K12" i="1"/>
  <c r="L12" i="1"/>
  <c r="M12" i="1"/>
  <c r="D13" i="1"/>
  <c r="E13" i="1"/>
  <c r="F13" i="1"/>
  <c r="G13" i="1"/>
  <c r="H13" i="1"/>
  <c r="I13" i="1"/>
  <c r="J13" i="1"/>
  <c r="K13" i="1"/>
  <c r="L13" i="1"/>
  <c r="M13" i="1"/>
  <c r="D14" i="1"/>
  <c r="E14" i="1"/>
  <c r="F14" i="1"/>
  <c r="G14" i="1"/>
  <c r="H14" i="1"/>
  <c r="I14" i="1"/>
  <c r="J14" i="1"/>
  <c r="K14" i="1"/>
  <c r="L14" i="1"/>
  <c r="M14" i="1"/>
  <c r="D15" i="1"/>
  <c r="E15" i="1"/>
  <c r="F15" i="1"/>
  <c r="G15" i="1"/>
  <c r="H15" i="1"/>
  <c r="I15" i="1"/>
  <c r="J15" i="1"/>
  <c r="K15" i="1"/>
  <c r="L15" i="1"/>
  <c r="M15" i="1"/>
  <c r="D16" i="1"/>
  <c r="E16" i="1"/>
  <c r="F16" i="1"/>
  <c r="G16" i="1"/>
  <c r="H16" i="1"/>
  <c r="I16" i="1"/>
  <c r="J16" i="1"/>
  <c r="K16" i="1"/>
  <c r="L16" i="1"/>
  <c r="M16" i="1"/>
  <c r="D17" i="1"/>
  <c r="E17" i="1"/>
  <c r="F17" i="1"/>
  <c r="G17" i="1"/>
  <c r="H17" i="1"/>
  <c r="I17" i="1"/>
  <c r="J17" i="1"/>
  <c r="K17" i="1"/>
  <c r="L17" i="1"/>
  <c r="M17" i="1"/>
  <c r="D18" i="1"/>
  <c r="E18" i="1"/>
  <c r="F18" i="1"/>
  <c r="G18" i="1"/>
  <c r="H18" i="1"/>
  <c r="I18" i="1"/>
  <c r="J18" i="1"/>
  <c r="K18" i="1"/>
  <c r="L18" i="1"/>
  <c r="M18" i="1"/>
  <c r="D19" i="1"/>
  <c r="E19" i="1"/>
  <c r="F19" i="1"/>
  <c r="G19" i="1"/>
  <c r="H19" i="1"/>
  <c r="I19" i="1"/>
  <c r="J19" i="1"/>
  <c r="K19" i="1"/>
  <c r="L19" i="1"/>
  <c r="M19" i="1"/>
  <c r="D20" i="1"/>
  <c r="E20" i="1"/>
  <c r="F20" i="1"/>
  <c r="G20" i="1"/>
  <c r="H20" i="1"/>
  <c r="I20" i="1"/>
  <c r="J20" i="1"/>
  <c r="K20" i="1"/>
  <c r="L20" i="1"/>
  <c r="M20" i="1"/>
  <c r="D33" i="1"/>
  <c r="E33" i="1"/>
  <c r="F33" i="1"/>
  <c r="G33" i="1"/>
  <c r="H33" i="1"/>
  <c r="I33" i="1"/>
  <c r="J33" i="1"/>
  <c r="K33" i="1"/>
  <c r="L33" i="1"/>
  <c r="M33" i="1"/>
  <c r="C35" i="1"/>
  <c r="D35" i="1"/>
  <c r="E35" i="1"/>
  <c r="F35" i="1"/>
  <c r="G35" i="1"/>
  <c r="H35" i="1"/>
  <c r="I35" i="1"/>
  <c r="J35" i="1"/>
  <c r="K35" i="1"/>
  <c r="L35" i="1"/>
  <c r="M35" i="1"/>
  <c r="C37" i="1"/>
  <c r="C38" i="1"/>
  <c r="D38" i="1"/>
  <c r="E38" i="1"/>
  <c r="F38" i="1"/>
  <c r="G38" i="1"/>
  <c r="H38" i="1"/>
  <c r="I38" i="1"/>
  <c r="J38" i="1"/>
  <c r="K38" i="1"/>
  <c r="L38" i="1"/>
  <c r="M38" i="1"/>
  <c r="C39" i="1"/>
  <c r="D39" i="1"/>
  <c r="E39" i="1"/>
  <c r="F39" i="1"/>
  <c r="G39" i="1"/>
  <c r="H39" i="1"/>
  <c r="I39" i="1"/>
  <c r="J39" i="1"/>
  <c r="K39" i="1"/>
  <c r="L39" i="1"/>
  <c r="M39" i="1"/>
  <c r="C42" i="1"/>
  <c r="D42" i="1"/>
  <c r="E42" i="1"/>
  <c r="F42" i="1"/>
  <c r="G42" i="1"/>
  <c r="H42" i="1"/>
  <c r="I42" i="1"/>
  <c r="J42" i="1"/>
  <c r="K42" i="1"/>
  <c r="L42" i="1"/>
  <c r="M42" i="1"/>
  <c r="C10" i="14"/>
  <c r="D10" i="14"/>
  <c r="E10" i="14"/>
  <c r="F10" i="14"/>
  <c r="G10" i="14"/>
  <c r="H10" i="14"/>
  <c r="I10" i="14"/>
  <c r="J10" i="14"/>
  <c r="K10" i="14"/>
  <c r="L10" i="14"/>
  <c r="M10" i="14"/>
  <c r="C11" i="14"/>
  <c r="D11" i="14"/>
  <c r="E11" i="14"/>
  <c r="F11" i="14"/>
  <c r="G11" i="14"/>
  <c r="H11" i="14"/>
  <c r="I11" i="14"/>
  <c r="J11" i="14"/>
  <c r="K11" i="14"/>
  <c r="L11" i="14"/>
  <c r="M11" i="14"/>
  <c r="C12" i="14"/>
  <c r="D12" i="14"/>
  <c r="E12" i="14"/>
  <c r="F12" i="14"/>
  <c r="G12" i="14"/>
  <c r="H12" i="14"/>
  <c r="I12" i="14"/>
  <c r="J12" i="14"/>
  <c r="K12" i="14"/>
  <c r="L12" i="14"/>
  <c r="M12" i="14"/>
  <c r="C13" i="14"/>
  <c r="D13" i="14"/>
  <c r="E13" i="14"/>
  <c r="F13" i="14"/>
  <c r="G13" i="14"/>
  <c r="H13" i="14"/>
  <c r="I13" i="14"/>
  <c r="J13" i="14"/>
  <c r="K13" i="14"/>
  <c r="L13" i="14"/>
  <c r="M13" i="14"/>
  <c r="C14" i="14"/>
  <c r="D14" i="14"/>
  <c r="E14" i="14"/>
  <c r="F14" i="14"/>
  <c r="G14" i="14"/>
  <c r="H14" i="14"/>
  <c r="I14" i="14"/>
  <c r="J14" i="14"/>
  <c r="K14" i="14"/>
  <c r="L14" i="14"/>
  <c r="M14" i="14"/>
  <c r="C15" i="14"/>
  <c r="D15" i="14"/>
  <c r="E15" i="14"/>
  <c r="F15" i="14"/>
  <c r="G15" i="14"/>
  <c r="H15" i="14"/>
  <c r="I15" i="14"/>
  <c r="J15" i="14"/>
  <c r="K15" i="14"/>
  <c r="L15" i="14"/>
  <c r="M15" i="14"/>
  <c r="C16" i="14"/>
  <c r="D16" i="14"/>
  <c r="E16" i="14"/>
  <c r="F16" i="14"/>
  <c r="G16" i="14"/>
  <c r="H16" i="14"/>
  <c r="I16" i="14"/>
  <c r="J16" i="14"/>
  <c r="K16" i="14"/>
  <c r="L16" i="14"/>
  <c r="M16" i="14"/>
  <c r="C17" i="14"/>
  <c r="D17" i="14"/>
  <c r="E17" i="14"/>
  <c r="F17" i="14"/>
  <c r="G17" i="14"/>
  <c r="H17" i="14"/>
  <c r="I17" i="14"/>
  <c r="J17" i="14"/>
  <c r="K17" i="14"/>
  <c r="L17" i="14"/>
  <c r="M17" i="14"/>
  <c r="C18" i="14"/>
  <c r="D18" i="14"/>
  <c r="E18" i="14"/>
  <c r="F18" i="14"/>
  <c r="G18" i="14"/>
  <c r="H18" i="14"/>
  <c r="I18" i="14"/>
  <c r="J18" i="14"/>
  <c r="K18" i="14"/>
  <c r="L18" i="14"/>
  <c r="M18" i="14"/>
  <c r="C19" i="14"/>
  <c r="D19" i="14"/>
  <c r="E19" i="14"/>
  <c r="F19" i="14"/>
  <c r="G19" i="14"/>
  <c r="H19" i="14"/>
  <c r="I19" i="14"/>
  <c r="J19" i="14"/>
  <c r="K19" i="14"/>
  <c r="L19" i="14"/>
  <c r="M19" i="14"/>
  <c r="C20" i="14"/>
  <c r="D20" i="14"/>
  <c r="E20" i="14"/>
  <c r="F20" i="14"/>
  <c r="G20" i="14"/>
  <c r="H20" i="14"/>
  <c r="I20" i="14"/>
  <c r="J20" i="14"/>
  <c r="K20" i="14"/>
  <c r="L20" i="14"/>
  <c r="M20" i="14"/>
  <c r="D10" i="13"/>
  <c r="E10" i="13"/>
  <c r="F10" i="13"/>
  <c r="G10" i="13"/>
  <c r="H10" i="13"/>
  <c r="I10" i="13"/>
  <c r="J10" i="13"/>
  <c r="K10" i="13"/>
  <c r="L10" i="13"/>
  <c r="M10" i="13"/>
  <c r="D11" i="13"/>
  <c r="E11" i="13"/>
  <c r="F11" i="13"/>
  <c r="G11" i="13"/>
  <c r="H11" i="13"/>
  <c r="I11" i="13"/>
  <c r="J11" i="13"/>
  <c r="K11" i="13"/>
  <c r="L11" i="13"/>
  <c r="M11" i="13"/>
  <c r="D12" i="13"/>
  <c r="E12" i="13"/>
  <c r="F12" i="13"/>
  <c r="G12" i="13"/>
  <c r="H12" i="13"/>
  <c r="I12" i="13"/>
  <c r="J12" i="13"/>
  <c r="K12" i="13"/>
  <c r="L12" i="13"/>
  <c r="M12" i="13"/>
  <c r="D13" i="13"/>
  <c r="E13" i="13"/>
  <c r="F13" i="13"/>
  <c r="G13" i="13"/>
  <c r="H13" i="13"/>
  <c r="I13" i="13"/>
  <c r="J13" i="13"/>
  <c r="K13" i="13"/>
  <c r="L13" i="13"/>
  <c r="M13" i="13"/>
  <c r="D14" i="13"/>
  <c r="E14" i="13"/>
  <c r="F14" i="13"/>
  <c r="G14" i="13"/>
  <c r="H14" i="13"/>
  <c r="I14" i="13"/>
  <c r="J14" i="13"/>
  <c r="K14" i="13"/>
  <c r="L14" i="13"/>
  <c r="M14" i="13"/>
  <c r="D15" i="13"/>
  <c r="E15" i="13"/>
  <c r="F15" i="13"/>
  <c r="G15" i="13"/>
  <c r="H15" i="13"/>
  <c r="I15" i="13"/>
  <c r="J15" i="13"/>
  <c r="K15" i="13"/>
  <c r="L15" i="13"/>
  <c r="M15" i="13"/>
  <c r="D16" i="13"/>
  <c r="E16" i="13"/>
  <c r="F16" i="13"/>
  <c r="G16" i="13"/>
  <c r="H16" i="13"/>
  <c r="I16" i="13"/>
  <c r="J16" i="13"/>
  <c r="K16" i="13"/>
  <c r="L16" i="13"/>
  <c r="M16" i="13"/>
  <c r="D17" i="13"/>
  <c r="E17" i="13"/>
  <c r="F17" i="13"/>
  <c r="G17" i="13"/>
  <c r="H17" i="13"/>
  <c r="I17" i="13"/>
  <c r="J17" i="13"/>
  <c r="K17" i="13"/>
  <c r="L17" i="13"/>
  <c r="M17" i="13"/>
  <c r="D18" i="13"/>
  <c r="E18" i="13"/>
  <c r="F18" i="13"/>
  <c r="G18" i="13"/>
  <c r="H18" i="13"/>
  <c r="I18" i="13"/>
  <c r="J18" i="13"/>
  <c r="K18" i="13"/>
  <c r="L18" i="13"/>
  <c r="M18" i="13"/>
  <c r="D19" i="13"/>
  <c r="E19" i="13"/>
  <c r="F19" i="13"/>
  <c r="G19" i="13"/>
  <c r="H19" i="13"/>
  <c r="I19" i="13"/>
  <c r="J19" i="13"/>
  <c r="K19" i="13"/>
  <c r="L19" i="13"/>
  <c r="M19" i="13"/>
  <c r="D20" i="13"/>
  <c r="E20" i="13"/>
  <c r="F20" i="13"/>
  <c r="G20" i="13"/>
  <c r="H20" i="13"/>
  <c r="I20" i="13"/>
  <c r="J20" i="13"/>
  <c r="K20" i="13"/>
  <c r="L20" i="13"/>
  <c r="M20" i="13"/>
  <c r="D10" i="12"/>
  <c r="E10" i="12"/>
  <c r="F10" i="12"/>
  <c r="G10" i="12"/>
  <c r="H10" i="12"/>
  <c r="I10" i="12"/>
  <c r="J10" i="12"/>
  <c r="K10" i="12"/>
  <c r="L10" i="12"/>
  <c r="M10" i="12"/>
  <c r="D11" i="12"/>
  <c r="E11" i="12"/>
  <c r="F11" i="12"/>
  <c r="G11" i="12"/>
  <c r="H11" i="12"/>
  <c r="I11" i="12"/>
  <c r="J11" i="12"/>
  <c r="K11" i="12"/>
  <c r="L11" i="12"/>
  <c r="M11" i="12"/>
  <c r="D12" i="12"/>
  <c r="E12" i="12"/>
  <c r="F12" i="12"/>
  <c r="G12" i="12"/>
  <c r="H12" i="12"/>
  <c r="I12" i="12"/>
  <c r="J12" i="12"/>
  <c r="K12" i="12"/>
  <c r="L12" i="12"/>
  <c r="M12" i="12"/>
  <c r="D13" i="12"/>
  <c r="E13" i="12"/>
  <c r="F13" i="12"/>
  <c r="G13" i="12"/>
  <c r="H13" i="12"/>
  <c r="I13" i="12"/>
  <c r="J13" i="12"/>
  <c r="K13" i="12"/>
  <c r="L13" i="12"/>
  <c r="M13" i="12"/>
  <c r="D14" i="12"/>
  <c r="E14" i="12"/>
  <c r="F14" i="12"/>
  <c r="G14" i="12"/>
  <c r="H14" i="12"/>
  <c r="I14" i="12"/>
  <c r="J14" i="12"/>
  <c r="K14" i="12"/>
  <c r="L14" i="12"/>
  <c r="M14" i="12"/>
  <c r="D15" i="12"/>
  <c r="E15" i="12"/>
  <c r="F15" i="12"/>
  <c r="G15" i="12"/>
  <c r="H15" i="12"/>
  <c r="I15" i="12"/>
  <c r="J15" i="12"/>
  <c r="K15" i="12"/>
  <c r="L15" i="12"/>
  <c r="M15" i="12"/>
  <c r="D16" i="12"/>
  <c r="E16" i="12"/>
  <c r="F16" i="12"/>
  <c r="G16" i="12"/>
  <c r="H16" i="12"/>
  <c r="I16" i="12"/>
  <c r="J16" i="12"/>
  <c r="K16" i="12"/>
  <c r="L16" i="12"/>
  <c r="M16" i="12"/>
  <c r="D17" i="12"/>
  <c r="E17" i="12"/>
  <c r="F17" i="12"/>
  <c r="G17" i="12"/>
  <c r="H17" i="12"/>
  <c r="I17" i="12"/>
  <c r="J17" i="12"/>
  <c r="K17" i="12"/>
  <c r="L17" i="12"/>
  <c r="M17" i="12"/>
  <c r="D18" i="12"/>
  <c r="E18" i="12"/>
  <c r="F18" i="12"/>
  <c r="G18" i="12"/>
  <c r="H18" i="12"/>
  <c r="I18" i="12"/>
  <c r="J18" i="12"/>
  <c r="K18" i="12"/>
  <c r="L18" i="12"/>
  <c r="M18" i="12"/>
  <c r="D19" i="12"/>
  <c r="E19" i="12"/>
  <c r="F19" i="12"/>
  <c r="G19" i="12"/>
  <c r="H19" i="12"/>
  <c r="I19" i="12"/>
  <c r="J19" i="12"/>
  <c r="K19" i="12"/>
  <c r="L19" i="12"/>
  <c r="M19" i="12"/>
  <c r="D20" i="12"/>
  <c r="E20" i="12"/>
  <c r="F20" i="12"/>
  <c r="G20" i="12"/>
  <c r="H20" i="12"/>
  <c r="I20" i="12"/>
  <c r="J20" i="12"/>
  <c r="K20" i="12"/>
  <c r="L20" i="12"/>
  <c r="M20" i="12"/>
  <c r="D10" i="11"/>
  <c r="E10" i="11"/>
  <c r="F10" i="11"/>
  <c r="G10" i="11"/>
  <c r="H10" i="11"/>
  <c r="I10" i="11"/>
  <c r="J10" i="11"/>
  <c r="K10" i="11"/>
  <c r="L10" i="11"/>
  <c r="M10" i="11"/>
  <c r="D11" i="11"/>
  <c r="E11" i="11"/>
  <c r="F11" i="11"/>
  <c r="G11" i="11"/>
  <c r="H11" i="11"/>
  <c r="I11" i="11"/>
  <c r="J11" i="11"/>
  <c r="K11" i="11"/>
  <c r="L11" i="11"/>
  <c r="M11" i="11"/>
  <c r="D12" i="11"/>
  <c r="E12" i="11"/>
  <c r="F12" i="11"/>
  <c r="G12" i="11"/>
  <c r="H12" i="11"/>
  <c r="I12" i="11"/>
  <c r="J12" i="11"/>
  <c r="K12" i="11"/>
  <c r="L12" i="11"/>
  <c r="M12" i="11"/>
  <c r="D13" i="11"/>
  <c r="E13" i="11"/>
  <c r="F13" i="11"/>
  <c r="G13" i="11"/>
  <c r="H13" i="11"/>
  <c r="I13" i="11"/>
  <c r="J13" i="11"/>
  <c r="K13" i="11"/>
  <c r="L13" i="11"/>
  <c r="M13" i="11"/>
  <c r="D14" i="11"/>
  <c r="E14" i="11"/>
  <c r="F14" i="11"/>
  <c r="G14" i="11"/>
  <c r="H14" i="11"/>
  <c r="I14" i="11"/>
  <c r="J14" i="11"/>
  <c r="K14" i="11"/>
  <c r="L14" i="11"/>
  <c r="M14" i="11"/>
  <c r="D15" i="11"/>
  <c r="E15" i="11"/>
  <c r="F15" i="11"/>
  <c r="G15" i="11"/>
  <c r="H15" i="11"/>
  <c r="I15" i="11"/>
  <c r="J15" i="11"/>
  <c r="K15" i="11"/>
  <c r="L15" i="11"/>
  <c r="M15" i="11"/>
  <c r="D16" i="11"/>
  <c r="E16" i="11"/>
  <c r="F16" i="11"/>
  <c r="G16" i="11"/>
  <c r="H16" i="11"/>
  <c r="I16" i="11"/>
  <c r="J16" i="11"/>
  <c r="K16" i="11"/>
  <c r="L16" i="11"/>
  <c r="M16" i="11"/>
  <c r="D17" i="11"/>
  <c r="E17" i="11"/>
  <c r="F17" i="11"/>
  <c r="G17" i="11"/>
  <c r="H17" i="11"/>
  <c r="I17" i="11"/>
  <c r="J17" i="11"/>
  <c r="K17" i="11"/>
  <c r="L17" i="11"/>
  <c r="M17" i="11"/>
  <c r="D18" i="11"/>
  <c r="E18" i="11"/>
  <c r="F18" i="11"/>
  <c r="G18" i="11"/>
  <c r="H18" i="11"/>
  <c r="I18" i="11"/>
  <c r="J18" i="11"/>
  <c r="K18" i="11"/>
  <c r="L18" i="11"/>
  <c r="M18" i="11"/>
  <c r="D19" i="11"/>
  <c r="E19" i="11"/>
  <c r="F19" i="11"/>
  <c r="G19" i="11"/>
  <c r="H19" i="11"/>
  <c r="I19" i="11"/>
  <c r="J19" i="11"/>
  <c r="K19" i="11"/>
  <c r="L19" i="11"/>
  <c r="M19" i="11"/>
  <c r="D20" i="11"/>
  <c r="E20" i="11"/>
  <c r="F20" i="11"/>
  <c r="G20" i="11"/>
  <c r="H20" i="11"/>
  <c r="I20" i="11"/>
  <c r="J20" i="11"/>
  <c r="K20" i="11"/>
  <c r="L20" i="11"/>
  <c r="M20" i="11"/>
  <c r="C10" i="10"/>
  <c r="D10" i="10"/>
  <c r="E10" i="10"/>
  <c r="F10" i="10"/>
  <c r="G10" i="10"/>
  <c r="H10" i="10"/>
  <c r="I10" i="10"/>
  <c r="J10" i="10"/>
  <c r="K10" i="10"/>
  <c r="L10" i="10"/>
  <c r="M10" i="10"/>
  <c r="C11" i="10"/>
  <c r="D11" i="10"/>
  <c r="E11" i="10"/>
  <c r="F11" i="10"/>
  <c r="G11" i="10"/>
  <c r="H11" i="10"/>
  <c r="I11" i="10"/>
  <c r="J11" i="10"/>
  <c r="K11" i="10"/>
  <c r="L11" i="10"/>
  <c r="M11" i="10"/>
  <c r="C12" i="10"/>
  <c r="D12" i="10"/>
  <c r="E12" i="10"/>
  <c r="F12" i="10"/>
  <c r="G12" i="10"/>
  <c r="H12" i="10"/>
  <c r="I12" i="10"/>
  <c r="J12" i="10"/>
  <c r="K12" i="10"/>
  <c r="L12" i="10"/>
  <c r="M12" i="10"/>
  <c r="C13" i="10"/>
  <c r="D13" i="10"/>
  <c r="E13" i="10"/>
  <c r="F13" i="10"/>
  <c r="G13" i="10"/>
  <c r="H13" i="10"/>
  <c r="I13" i="10"/>
  <c r="J13" i="10"/>
  <c r="K13" i="10"/>
  <c r="L13" i="10"/>
  <c r="M13" i="10"/>
  <c r="C14" i="10"/>
  <c r="D14" i="10"/>
  <c r="E14" i="10"/>
  <c r="F14" i="10"/>
  <c r="G14" i="10"/>
  <c r="H14" i="10"/>
  <c r="I14" i="10"/>
  <c r="J14" i="10"/>
  <c r="K14" i="10"/>
  <c r="L14" i="10"/>
  <c r="M14" i="10"/>
  <c r="C15" i="10"/>
  <c r="D15" i="10"/>
  <c r="E15" i="10"/>
  <c r="F15" i="10"/>
  <c r="G15" i="10"/>
  <c r="H15" i="10"/>
  <c r="I15" i="10"/>
  <c r="J15" i="10"/>
  <c r="K15" i="10"/>
  <c r="L15" i="10"/>
  <c r="M15" i="10"/>
  <c r="C16" i="10"/>
  <c r="D16" i="10"/>
  <c r="E16" i="10"/>
  <c r="F16" i="10"/>
  <c r="G16" i="10"/>
  <c r="H16" i="10"/>
  <c r="I16" i="10"/>
  <c r="J16" i="10"/>
  <c r="K16" i="10"/>
  <c r="L16" i="10"/>
  <c r="M16" i="10"/>
  <c r="C17" i="10"/>
  <c r="D17" i="10"/>
  <c r="E17" i="10"/>
  <c r="F17" i="10"/>
  <c r="G17" i="10"/>
  <c r="H17" i="10"/>
  <c r="I17" i="10"/>
  <c r="J17" i="10"/>
  <c r="K17" i="10"/>
  <c r="L17" i="10"/>
  <c r="M17" i="10"/>
  <c r="C18" i="10"/>
  <c r="D18" i="10"/>
  <c r="E18" i="10"/>
  <c r="F18" i="10"/>
  <c r="G18" i="10"/>
  <c r="H18" i="10"/>
  <c r="I18" i="10"/>
  <c r="J18" i="10"/>
  <c r="K18" i="10"/>
  <c r="L18" i="10"/>
  <c r="M18" i="10"/>
  <c r="C19" i="10"/>
  <c r="D19" i="10"/>
  <c r="E19" i="10"/>
  <c r="F19" i="10"/>
  <c r="G19" i="10"/>
  <c r="H19" i="10"/>
  <c r="I19" i="10"/>
  <c r="J19" i="10"/>
  <c r="K19" i="10"/>
  <c r="L19" i="10"/>
  <c r="M19" i="10"/>
  <c r="C20" i="10"/>
  <c r="D20" i="10"/>
  <c r="E20" i="10"/>
  <c r="F20" i="10"/>
  <c r="G20" i="10"/>
  <c r="H20" i="10"/>
  <c r="I20" i="10"/>
  <c r="J20" i="10"/>
  <c r="K20" i="10"/>
  <c r="L20" i="10"/>
  <c r="M20" i="10"/>
  <c r="E26" i="10"/>
  <c r="G26" i="10"/>
  <c r="E27" i="10"/>
  <c r="G27" i="10"/>
</calcChain>
</file>

<file path=xl/sharedStrings.xml><?xml version="1.0" encoding="utf-8"?>
<sst xmlns="http://schemas.openxmlformats.org/spreadsheetml/2006/main" count="70" uniqueCount="58">
  <si>
    <t>DX/DY*k</t>
  </si>
  <si>
    <t>relaxf</t>
  </si>
  <si>
    <t>kD- field (m2/d) and domain dimensions</t>
  </si>
  <si>
    <t>East Coefficient</t>
  </si>
  <si>
    <t>Head distribution</t>
  </si>
  <si>
    <t>length</t>
  </si>
  <si>
    <t>width</t>
  </si>
  <si>
    <t>x</t>
  </si>
  <si>
    <t>y</t>
  </si>
  <si>
    <t>Calculations</t>
  </si>
  <si>
    <t>iterations</t>
  </si>
  <si>
    <t>improvement</t>
  </si>
  <si>
    <t>IN</t>
  </si>
  <si>
    <t>OUT</t>
  </si>
  <si>
    <t>recharge</t>
  </si>
  <si>
    <t>boundary</t>
  </si>
  <si>
    <t>well</t>
  </si>
  <si>
    <t>total</t>
  </si>
  <si>
    <t>Recharge rate</t>
  </si>
  <si>
    <t>Total Recharge</t>
  </si>
  <si>
    <t>Water balance</t>
  </si>
  <si>
    <t xml:space="preserve">boundary west in </t>
  </si>
  <si>
    <t>boundary west out</t>
  </si>
  <si>
    <t>Horizontal Transport Capacity</t>
  </si>
  <si>
    <t>Vertical transport capacity</t>
  </si>
  <si>
    <t>DY/DX*k</t>
  </si>
  <si>
    <t>external fluxes</t>
  </si>
  <si>
    <t>Flux from the east</t>
  </si>
  <si>
    <t>Flux form the south</t>
  </si>
  <si>
    <t>Flux from the north</t>
  </si>
  <si>
    <t>Flux from the west</t>
  </si>
  <si>
    <t>South coefficient</t>
  </si>
  <si>
    <t>West coefficient</t>
  </si>
  <si>
    <t>North coefficient</t>
  </si>
  <si>
    <t>element wise</t>
  </si>
  <si>
    <t>resist</t>
  </si>
  <si>
    <t>d init</t>
  </si>
  <si>
    <t>slope</t>
  </si>
  <si>
    <t>bottom</t>
  </si>
  <si>
    <t>Hstream</t>
  </si>
  <si>
    <t>leakage</t>
  </si>
  <si>
    <t>d calc</t>
  </si>
  <si>
    <t>Qstream</t>
  </si>
  <si>
    <t>upstream inflow</t>
  </si>
  <si>
    <t>m3/d</t>
  </si>
  <si>
    <t>m</t>
  </si>
  <si>
    <t>m/m</t>
  </si>
  <si>
    <t>d</t>
  </si>
  <si>
    <t>initialize</t>
  </si>
  <si>
    <t>Qinit, d=1m</t>
  </si>
  <si>
    <t>manning</t>
  </si>
  <si>
    <t>m3/s</t>
  </si>
  <si>
    <t>Qppn</t>
  </si>
  <si>
    <t>groundwater boundary flow</t>
  </si>
  <si>
    <t>Water Balance Groundwater</t>
  </si>
  <si>
    <t>ow-grw exch</t>
  </si>
  <si>
    <t>diff</t>
  </si>
  <si>
    <t>grw-ow interaction corrected for recharge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</si>
</sst>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/>
    <xf numFmtId="0" fontId="0" fillId="0" borderId="5" xfId="0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9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surfaceChart>
        <c:wireframe val="1"/>
        <c:ser>
          <c:idx val="0"/>
          <c:order val="0"/>
          <c:val>
            <c:numRef>
              <c:f>H!$C$10:$M$10</c:f>
              <c:numCache>
                <c:formatCode>General</c:formatCode>
                <c:ptCount val="11"/>
                <c:pt idx="0">
                  <c:v>6</c:v>
                </c:pt>
                <c:pt idx="1">
                  <c:v>6.175170538789498</c:v>
                </c:pt>
                <c:pt idx="2">
                  <c:v>6.4342356463498263</c:v>
                </c:pt>
                <c:pt idx="3">
                  <c:v>6.7244348145686912</c:v>
                </c:pt>
                <c:pt idx="4">
                  <c:v>7.0220768694639943</c:v>
                </c:pt>
                <c:pt idx="5">
                  <c:v>7.3213771569597172</c:v>
                </c:pt>
                <c:pt idx="6">
                  <c:v>7.6208074063568549</c:v>
                </c:pt>
                <c:pt idx="7">
                  <c:v>7.9191741440408654</c:v>
                </c:pt>
                <c:pt idx="8">
                  <c:v>8.2125336821603767</c:v>
                </c:pt>
                <c:pt idx="9">
                  <c:v>8.4840258249348217</c:v>
                </c:pt>
                <c:pt idx="10">
                  <c:v>8.6616207419312605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1-4552-8CE5-BE5045632D78}"/>
            </c:ext>
          </c:extLst>
        </c:ser>
        <c:ser>
          <c:idx val="1"/>
          <c:order val="1"/>
          <c:val>
            <c:numRef>
              <c:f>H!$C$11:$M$11</c:f>
              <c:numCache>
                <c:formatCode>General</c:formatCode>
                <c:ptCount val="11"/>
                <c:pt idx="0">
                  <c:v>6</c:v>
                </c:pt>
                <c:pt idx="1">
                  <c:v>6.1697510845825949</c:v>
                </c:pt>
                <c:pt idx="2">
                  <c:v>6.4290800069043508</c:v>
                </c:pt>
                <c:pt idx="3">
                  <c:v>6.7193976303076681</c:v>
                </c:pt>
                <c:pt idx="4">
                  <c:v>7.0170686025666473</c:v>
                </c:pt>
                <c:pt idx="5">
                  <c:v>7.3163765351424237</c:v>
                </c:pt>
                <c:pt idx="6">
                  <c:v>7.6158127643677176</c:v>
                </c:pt>
                <c:pt idx="7">
                  <c:v>7.9141991834804779</c:v>
                </c:pt>
                <c:pt idx="8">
                  <c:v>8.2076430159661093</c:v>
                </c:pt>
                <c:pt idx="9">
                  <c:v>8.479495310925401</c:v>
                </c:pt>
                <c:pt idx="10">
                  <c:v>8.6583968077038982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1-4552-8CE5-BE5045632D78}"/>
            </c:ext>
          </c:extLst>
        </c:ser>
        <c:ser>
          <c:idx val="2"/>
          <c:order val="2"/>
          <c:val>
            <c:numRef>
              <c:f>H!$C$12:$M$12</c:f>
              <c:numCache>
                <c:formatCode>General</c:formatCode>
                <c:ptCount val="11"/>
                <c:pt idx="0">
                  <c:v>6</c:v>
                </c:pt>
                <c:pt idx="1">
                  <c:v>6.1534358478702975</c:v>
                </c:pt>
                <c:pt idx="2">
                  <c:v>6.4136144592163085</c:v>
                </c:pt>
                <c:pt idx="3">
                  <c:v>6.704286864119152</c:v>
                </c:pt>
                <c:pt idx="4">
                  <c:v>7.002043902593047</c:v>
                </c:pt>
                <c:pt idx="5">
                  <c:v>7.3013745792184306</c:v>
                </c:pt>
                <c:pt idx="6">
                  <c:v>7.6008285598563727</c:v>
                </c:pt>
                <c:pt idx="7">
                  <c:v>7.8992736052477506</c:v>
                </c:pt>
                <c:pt idx="8">
                  <c:v>8.1929682311529248</c:v>
                </c:pt>
                <c:pt idx="9">
                  <c:v>8.4658943455732576</c:v>
                </c:pt>
                <c:pt idx="10">
                  <c:v>8.6487507722950205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A1-4552-8CE5-BE5045632D78}"/>
            </c:ext>
          </c:extLst>
        </c:ser>
        <c:ser>
          <c:idx val="3"/>
          <c:order val="3"/>
          <c:val>
            <c:numRef>
              <c:f>H!$C$13:$M$13</c:f>
              <c:numCache>
                <c:formatCode>General</c:formatCode>
                <c:ptCount val="11"/>
                <c:pt idx="0">
                  <c:v>6</c:v>
                </c:pt>
                <c:pt idx="1">
                  <c:v>6.1260531685002642</c:v>
                </c:pt>
                <c:pt idx="2">
                  <c:v>6.3878439645644898</c:v>
                </c:pt>
                <c:pt idx="3">
                  <c:v>6.6791052432129909</c:v>
                </c:pt>
                <c:pt idx="4">
                  <c:v>6.9770034505855394</c:v>
                </c:pt>
                <c:pt idx="5">
                  <c:v>7.2763713658738363</c:v>
                </c:pt>
                <c:pt idx="6">
                  <c:v>7.5758544122676623</c:v>
                </c:pt>
                <c:pt idx="7">
                  <c:v>7.8743955132228338</c:v>
                </c:pt>
                <c:pt idx="8">
                  <c:v>8.1685011590215737</c:v>
                </c:pt>
                <c:pt idx="9">
                  <c:v>8.443193992737493</c:v>
                </c:pt>
                <c:pt idx="10">
                  <c:v>8.6327618506524608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A1-4552-8CE5-BE5045632D78}"/>
            </c:ext>
          </c:extLst>
        </c:ser>
        <c:ser>
          <c:idx val="4"/>
          <c:order val="4"/>
          <c:val>
            <c:numRef>
              <c:f>H!$C$14:$M$14</c:f>
              <c:numCache>
                <c:formatCode>General</c:formatCode>
                <c:ptCount val="11"/>
                <c:pt idx="0">
                  <c:v>6</c:v>
                </c:pt>
                <c:pt idx="1">
                  <c:v>6.0873131107697125</c:v>
                </c:pt>
                <c:pt idx="2">
                  <c:v>6.35177877536574</c:v>
                </c:pt>
                <c:pt idx="3">
                  <c:v>6.643857293235981</c:v>
                </c:pt>
                <c:pt idx="4">
                  <c:v>6.9419483644165236</c:v>
                </c:pt>
                <c:pt idx="5">
                  <c:v>7.2413670651626214</c:v>
                </c:pt>
                <c:pt idx="6">
                  <c:v>7.5408897489552267</c:v>
                </c:pt>
                <c:pt idx="7">
                  <c:v>7.8395618666643747</c:v>
                </c:pt>
                <c:pt idx="8">
                  <c:v>8.1342282459659518</c:v>
                </c:pt>
                <c:pt idx="9">
                  <c:v>8.4113449693410764</c:v>
                </c:pt>
                <c:pt idx="10">
                  <c:v>8.6105644265168664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A1-4552-8CE5-BE5045632D78}"/>
            </c:ext>
          </c:extLst>
        </c:ser>
        <c:ser>
          <c:idx val="5"/>
          <c:order val="5"/>
          <c:val>
            <c:numRef>
              <c:f>H!$C$15:$M$15</c:f>
              <c:numCache>
                <c:formatCode>General</c:formatCode>
                <c:ptCount val="11"/>
                <c:pt idx="0">
                  <c:v>6</c:v>
                </c:pt>
                <c:pt idx="1">
                  <c:v>6.0368015295596855</c:v>
                </c:pt>
                <c:pt idx="2">
                  <c:v>6.3054374501557167</c:v>
                </c:pt>
                <c:pt idx="3">
                  <c:v>6.5985492054771191</c:v>
                </c:pt>
                <c:pt idx="4">
                  <c:v>6.8968800018707599</c:v>
                </c:pt>
                <c:pt idx="5">
                  <c:v>7.1963617313355224</c:v>
                </c:pt>
                <c:pt idx="6">
                  <c:v>7.4959336144273907</c:v>
                </c:pt>
                <c:pt idx="7">
                  <c:v>7.7947682731029468</c:v>
                </c:pt>
                <c:pt idx="8">
                  <c:v>8.0901308318613143</c:v>
                </c:pt>
                <c:pt idx="9">
                  <c:v>8.3702749954469802</c:v>
                </c:pt>
                <c:pt idx="10">
                  <c:v>8.5823513825871238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A1-4552-8CE5-BE5045632D78}"/>
            </c:ext>
          </c:extLst>
        </c:ser>
        <c:ser>
          <c:idx val="6"/>
          <c:order val="6"/>
          <c:val>
            <c:numRef>
              <c:f>H!$C$16:$M$16</c:f>
              <c:numCache>
                <c:formatCode>General</c:formatCode>
                <c:ptCount val="11"/>
                <c:pt idx="0">
                  <c:v>6</c:v>
                </c:pt>
                <c:pt idx="1">
                  <c:v>6.0873131225710724</c:v>
                </c:pt>
                <c:pt idx="2">
                  <c:v>6.3517787995303161</c:v>
                </c:pt>
                <c:pt idx="3">
                  <c:v>6.6438573182640459</c:v>
                </c:pt>
                <c:pt idx="4">
                  <c:v>6.9419483940984588</c:v>
                </c:pt>
                <c:pt idx="5">
                  <c:v>7.2413671094723044</c:v>
                </c:pt>
                <c:pt idx="6">
                  <c:v>7.5408898141758405</c:v>
                </c:pt>
                <c:pt idx="7">
                  <c:v>7.8395619005552248</c:v>
                </c:pt>
                <c:pt idx="8">
                  <c:v>8.1342282673133894</c:v>
                </c:pt>
                <c:pt idx="9">
                  <c:v>8.4113450734981487</c:v>
                </c:pt>
                <c:pt idx="10">
                  <c:v>8.6105646014587975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A1-4552-8CE5-BE5045632D78}"/>
            </c:ext>
          </c:extLst>
        </c:ser>
        <c:ser>
          <c:idx val="7"/>
          <c:order val="7"/>
          <c:val>
            <c:numRef>
              <c:f>H!$C$17:$M$17</c:f>
              <c:numCache>
                <c:formatCode>General</c:formatCode>
                <c:ptCount val="11"/>
                <c:pt idx="0">
                  <c:v>6</c:v>
                </c:pt>
                <c:pt idx="1">
                  <c:v>6.1260531871394148</c:v>
                </c:pt>
                <c:pt idx="2">
                  <c:v>6.3878440041312459</c:v>
                </c:pt>
                <c:pt idx="3">
                  <c:v>6.6791052691233732</c:v>
                </c:pt>
                <c:pt idx="4">
                  <c:v>6.977003462680452</c:v>
                </c:pt>
                <c:pt idx="5">
                  <c:v>7.2763714082842537</c:v>
                </c:pt>
                <c:pt idx="6">
                  <c:v>7.5758544719441092</c:v>
                </c:pt>
                <c:pt idx="7">
                  <c:v>7.8743955523035245</c:v>
                </c:pt>
                <c:pt idx="8">
                  <c:v>8.1685011732248149</c:v>
                </c:pt>
                <c:pt idx="9">
                  <c:v>8.4431941574917762</c:v>
                </c:pt>
                <c:pt idx="10">
                  <c:v>8.6327621089289615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A1-4552-8CE5-BE5045632D78}"/>
            </c:ext>
          </c:extLst>
        </c:ser>
        <c:ser>
          <c:idx val="8"/>
          <c:order val="8"/>
          <c:val>
            <c:numRef>
              <c:f>H!$C$18:$M$18</c:f>
              <c:numCache>
                <c:formatCode>General</c:formatCode>
                <c:ptCount val="11"/>
                <c:pt idx="0">
                  <c:v>6</c:v>
                </c:pt>
                <c:pt idx="1">
                  <c:v>6.1534358639366875</c:v>
                </c:pt>
                <c:pt idx="2">
                  <c:v>6.4136144958876136</c:v>
                </c:pt>
                <c:pt idx="3">
                  <c:v>6.7042868440862344</c:v>
                </c:pt>
                <c:pt idx="4">
                  <c:v>7.0020438233184477</c:v>
                </c:pt>
                <c:pt idx="5">
                  <c:v>7.3013745365874358</c:v>
                </c:pt>
                <c:pt idx="6">
                  <c:v>7.6008285236076114</c:v>
                </c:pt>
                <c:pt idx="7">
                  <c:v>7.899273544770363</c:v>
                </c:pt>
                <c:pt idx="8">
                  <c:v>8.1929682286882599</c:v>
                </c:pt>
                <c:pt idx="9">
                  <c:v>8.4658944262628211</c:v>
                </c:pt>
                <c:pt idx="10">
                  <c:v>8.648750961465451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A1-4552-8CE5-BE5045632D78}"/>
            </c:ext>
          </c:extLst>
        </c:ser>
        <c:ser>
          <c:idx val="9"/>
          <c:order val="9"/>
          <c:val>
            <c:numRef>
              <c:f>H!$C$19:$M$19</c:f>
              <c:numCache>
                <c:formatCode>General</c:formatCode>
                <c:ptCount val="11"/>
                <c:pt idx="0">
                  <c:v>6</c:v>
                </c:pt>
                <c:pt idx="1">
                  <c:v>6.1697511116798189</c:v>
                </c:pt>
                <c:pt idx="2">
                  <c:v>6.4290800566438699</c:v>
                </c:pt>
                <c:pt idx="3">
                  <c:v>6.7193976022123296</c:v>
                </c:pt>
                <c:pt idx="4">
                  <c:v>7.0170684953324267</c:v>
                </c:pt>
                <c:pt idx="5">
                  <c:v>7.3163764804414484</c:v>
                </c:pt>
                <c:pt idx="6">
                  <c:v>7.6158127143145711</c:v>
                </c:pt>
                <c:pt idx="7">
                  <c:v>7.9141991113736259</c:v>
                </c:pt>
                <c:pt idx="8">
                  <c:v>8.2076429929055958</c:v>
                </c:pt>
                <c:pt idx="9">
                  <c:v>8.4794954526790409</c:v>
                </c:pt>
                <c:pt idx="10">
                  <c:v>8.6583970518056823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EA1-4552-8CE5-BE5045632D78}"/>
            </c:ext>
          </c:extLst>
        </c:ser>
        <c:ser>
          <c:idx val="10"/>
          <c:order val="10"/>
          <c:val>
            <c:numRef>
              <c:f>H!$C$20:$M$20</c:f>
              <c:numCache>
                <c:formatCode>General</c:formatCode>
                <c:ptCount val="11"/>
                <c:pt idx="0">
                  <c:v>6</c:v>
                </c:pt>
                <c:pt idx="1">
                  <c:v>6.1751705832285406</c:v>
                </c:pt>
                <c:pt idx="2">
                  <c:v>6.4342357255646609</c:v>
                </c:pt>
                <c:pt idx="3">
                  <c:v>6.724434817414755</c:v>
                </c:pt>
                <c:pt idx="4">
                  <c:v>7.0220767967140088</c:v>
                </c:pt>
                <c:pt idx="5">
                  <c:v>7.3213771464472366</c:v>
                </c:pt>
                <c:pt idx="6">
                  <c:v>7.6208074217126844</c:v>
                </c:pt>
                <c:pt idx="7">
                  <c:v>7.919174099910828</c:v>
                </c:pt>
                <c:pt idx="8">
                  <c:v>8.2125336751181486</c:v>
                </c:pt>
                <c:pt idx="9">
                  <c:v>8.484026047002363</c:v>
                </c:pt>
                <c:pt idx="10">
                  <c:v>8.6616211679969144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A1-4552-8CE5-BE5045632D78}"/>
            </c:ext>
          </c:extLst>
        </c:ser>
        <c:bandFmts/>
        <c:axId val="283284608"/>
        <c:axId val="283286144"/>
        <c:axId val="284316992"/>
      </c:surfaceChart>
      <c:catAx>
        <c:axId val="283284608"/>
        <c:scaling>
          <c:orientation val="minMax"/>
        </c:scaling>
        <c:delete val="0"/>
        <c:axPos val="b"/>
        <c:majorTickMark val="out"/>
        <c:minorTickMark val="none"/>
        <c:tickLblPos val="nextTo"/>
        <c:crossAx val="283286144"/>
        <c:crosses val="autoZero"/>
        <c:auto val="1"/>
        <c:lblAlgn val="ctr"/>
        <c:lblOffset val="100"/>
        <c:noMultiLvlLbl val="0"/>
      </c:catAx>
      <c:valAx>
        <c:axId val="283286144"/>
        <c:scaling>
          <c:orientation val="minMax"/>
          <c:min val="6"/>
        </c:scaling>
        <c:delete val="0"/>
        <c:axPos val="l"/>
        <c:numFmt formatCode="General" sourceLinked="1"/>
        <c:majorTickMark val="out"/>
        <c:minorTickMark val="none"/>
        <c:tickLblPos val="none"/>
        <c:crossAx val="283284608"/>
        <c:crosses val="autoZero"/>
        <c:crossBetween val="midCat"/>
        <c:majorUnit val="0.2"/>
      </c:valAx>
      <c:serAx>
        <c:axId val="284316992"/>
        <c:scaling>
          <c:orientation val="minMax"/>
        </c:scaling>
        <c:delete val="0"/>
        <c:axPos val="b"/>
        <c:majorTickMark val="out"/>
        <c:minorTickMark val="none"/>
        <c:tickLblPos val="nextTo"/>
        <c:crossAx val="283286144"/>
        <c:crosses val="autoZero"/>
      </c:serAx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Stream</a:t>
            </a:r>
            <a:r>
              <a:rPr lang="nl-NL" baseline="0"/>
              <a:t> stage and depth and groundwater head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groundwater head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H!$C$8:$M$8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xVal>
          <c:yVal>
            <c:numRef>
              <c:f>H!$C$15:$M$15</c:f>
              <c:numCache>
                <c:formatCode>General</c:formatCode>
                <c:ptCount val="11"/>
                <c:pt idx="0">
                  <c:v>6</c:v>
                </c:pt>
                <c:pt idx="1">
                  <c:v>6.0368015295596855</c:v>
                </c:pt>
                <c:pt idx="2">
                  <c:v>6.3054374501557167</c:v>
                </c:pt>
                <c:pt idx="3">
                  <c:v>6.5985492054771191</c:v>
                </c:pt>
                <c:pt idx="4">
                  <c:v>6.8968800018707599</c:v>
                </c:pt>
                <c:pt idx="5">
                  <c:v>7.1963617313355224</c:v>
                </c:pt>
                <c:pt idx="6">
                  <c:v>7.4959336144273907</c:v>
                </c:pt>
                <c:pt idx="7">
                  <c:v>7.7947682731029468</c:v>
                </c:pt>
                <c:pt idx="8">
                  <c:v>8.0901308318613143</c:v>
                </c:pt>
                <c:pt idx="9">
                  <c:v>8.3702749954469802</c:v>
                </c:pt>
                <c:pt idx="10">
                  <c:v>8.5823513825871238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3-4D65-8C3E-847EB5AB464E}"/>
            </c:ext>
          </c:extLst>
        </c:ser>
        <c:ser>
          <c:idx val="1"/>
          <c:order val="1"/>
          <c:tx>
            <c:v>Hstream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H!$C$8:$M$8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xVal>
          <c:yVal>
            <c:numRef>
              <c:f>H!$C$39:$M$39</c:f>
              <c:numCache>
                <c:formatCode>General</c:formatCode>
                <c:ptCount val="11"/>
                <c:pt idx="0">
                  <c:v>5.3967769856805363</c:v>
                </c:pt>
                <c:pt idx="1">
                  <c:v>5.6967769855460677</c:v>
                </c:pt>
                <c:pt idx="2">
                  <c:v>5.9966552139241518</c:v>
                </c:pt>
                <c:pt idx="3">
                  <c:v>6.296544136387813</c:v>
                </c:pt>
                <c:pt idx="4">
                  <c:v>6.5964353639243214</c:v>
                </c:pt>
                <c:pt idx="5">
                  <c:v>6.8963271071708094</c:v>
                </c:pt>
                <c:pt idx="6">
                  <c:v>7.1962189716653713</c:v>
                </c:pt>
                <c:pt idx="7">
                  <c:v>7.4961109262288641</c:v>
                </c:pt>
                <c:pt idx="8">
                  <c:v>7.7960032242557071</c:v>
                </c:pt>
                <c:pt idx="9">
                  <c:v>8.0958970587029295</c:v>
                </c:pt>
                <c:pt idx="10">
                  <c:v>8.3957976586813068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33-4D65-8C3E-847EB5AB4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266288"/>
        <c:axId val="798574704"/>
      </c:scatterChart>
      <c:scatterChart>
        <c:scatterStyle val="lineMarker"/>
        <c:varyColors val="0"/>
        <c:ser>
          <c:idx val="2"/>
          <c:order val="2"/>
          <c:tx>
            <c:v>d stream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H!$C$8:$M$8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xVal>
          <c:yVal>
            <c:numRef>
              <c:f>H!$C$38:$M$38</c:f>
              <c:numCache>
                <c:formatCode>General</c:formatCode>
                <c:ptCount val="11"/>
                <c:pt idx="0">
                  <c:v>0.39677698568053665</c:v>
                </c:pt>
                <c:pt idx="1">
                  <c:v>0.39677698554606822</c:v>
                </c:pt>
                <c:pt idx="2">
                  <c:v>0.39665521392415243</c:v>
                </c:pt>
                <c:pt idx="3">
                  <c:v>0.39654413638781327</c:v>
                </c:pt>
                <c:pt idx="4">
                  <c:v>0.39643536392432227</c:v>
                </c:pt>
                <c:pt idx="5">
                  <c:v>0.39632710717081049</c:v>
                </c:pt>
                <c:pt idx="6">
                  <c:v>0.39621897166537257</c:v>
                </c:pt>
                <c:pt idx="7">
                  <c:v>0.3961109262288649</c:v>
                </c:pt>
                <c:pt idx="8">
                  <c:v>0.39600322425570839</c:v>
                </c:pt>
                <c:pt idx="9">
                  <c:v>0.39589705870293135</c:v>
                </c:pt>
                <c:pt idx="10">
                  <c:v>0.39579765868130828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33-4D65-8C3E-847EB5AB4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266289"/>
        <c:axId val="938852296"/>
      </c:scatterChart>
      <c:valAx>
        <c:axId val="78826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Distance</a:t>
                </a:r>
                <a:r>
                  <a:rPr lang="nl-NL" baseline="0"/>
                  <a:t> (m)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98574704"/>
        <c:crosses val="autoZero"/>
        <c:crossBetween val="midCat"/>
      </c:valAx>
      <c:valAx>
        <c:axId val="798574704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Hg</a:t>
                </a:r>
                <a:r>
                  <a:rPr lang="nl-NL" baseline="0"/>
                  <a:t> and Hstream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88266288"/>
        <c:crosses val="autoZero"/>
        <c:crossBetween val="midCat"/>
      </c:valAx>
      <c:valAx>
        <c:axId val="9388522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depth 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88266289"/>
        <c:crosses val="max"/>
        <c:crossBetween val="midCat"/>
      </c:valAx>
      <c:valAx>
        <c:axId val="78826628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8852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471487</xdr:colOff>
      <xdr:row>0</xdr:row>
      <xdr:rowOff>95250</xdr:rowOff>
    </xdr:from>
    <xdr:to>
      <xdr:col>28</xdr:col>
      <xdr:colOff>47625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590549</xdr:colOff>
      <xdr:row>21</xdr:row>
      <xdr:rowOff>71436</xdr:rowOff>
    </xdr:from>
    <xdr:to>
      <xdr:col>28</xdr:col>
      <xdr:colOff>333374</xdr:colOff>
      <xdr:row>47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E314E3-827D-7D5C-19C6-7054F7DC9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561975</xdr:colOff>
      <xdr:row>44</xdr:row>
      <xdr:rowOff>9525</xdr:rowOff>
    </xdr:from>
    <xdr:to>
      <xdr:col>13</xdr:col>
      <xdr:colOff>476250</xdr:colOff>
      <xdr:row>62</xdr:row>
      <xdr:rowOff>95250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2E1E637-C28D-E34F-138F-0114EBEA2DC0}"/>
                </a:ext>
              </a:extLst>
            </xdr:cNvPr>
            <xdr:cNvSpPr txBox="1"/>
          </xdr:nvSpPr>
          <xdr:spPr>
            <a:xfrm>
              <a:off x="1171575" y="7191375"/>
              <a:ext cx="7658100" cy="30003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nl-NL" sz="1100"/>
                <a:t>Set up coupling</a:t>
              </a:r>
              <a:r>
                <a:rPr lang="nl-NL" sz="1100" baseline="0"/>
                <a:t> Stream and Aquifer interaction (two way interaction)</a:t>
              </a:r>
            </a:p>
            <a:p>
              <a:endParaRPr lang="nl-NL" sz="1100" baseline="0"/>
            </a:p>
            <a:p>
              <a:r>
                <a:rPr lang="nl-NL" sz="1100" baseline="0"/>
                <a:t>Manning equation for wide rectanular streams -&gt;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𝑚</m:t>
                      </m:r>
                    </m:sub>
                  </m:sSub>
                  <m:r>
                    <a:rPr lang="en-US" sz="1100" b="0" i="1" baseline="0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𝑛</m:t>
                      </m:r>
                    </m:den>
                  </m:f>
                  <m:sSup>
                    <m:sSup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sSupPr>
                    <m:e>
                      <m:d>
                        <m:dPr>
                          <m:ctrlPr>
                            <a:rPr lang="en-US" sz="1100" b="0" i="1" baseline="0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en-US" sz="1100" b="0" i="1" baseline="0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 baseline="0">
                                  <a:latin typeface="Cambria Math" panose="02040503050406030204" pitchFamily="18" charset="0"/>
                                </a:rPr>
                                <m:t>𝑤𝑑</m:t>
                              </m:r>
                            </m:num>
                            <m:den>
                              <m:r>
                                <a:rPr lang="en-US" sz="1100" b="0" i="1" baseline="0">
                                  <a:latin typeface="Cambria Math" panose="02040503050406030204" pitchFamily="18" charset="0"/>
                                </a:rPr>
                                <m:t>𝑤</m:t>
                              </m:r>
                              <m:r>
                                <a:rPr lang="en-US" sz="1100" b="0" i="1" baseline="0">
                                  <a:latin typeface="Cambria Math" panose="02040503050406030204" pitchFamily="18" charset="0"/>
                                </a:rPr>
                                <m:t>+2</m:t>
                              </m:r>
                              <m:r>
                                <a:rPr lang="en-US" sz="1100" b="0" i="1" baseline="0">
                                  <a:latin typeface="Cambria Math" panose="02040503050406030204" pitchFamily="18" charset="0"/>
                                </a:rPr>
                                <m:t>𝑑</m:t>
                              </m:r>
                            </m:den>
                          </m:f>
                        </m:e>
                      </m:d>
                    </m:e>
                    <m:sup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5/3</m:t>
                      </m:r>
                    </m:sup>
                  </m:sSup>
                  <m:r>
                    <a:rPr lang="en-US" sz="1100" b="0" i="1" baseline="0">
                      <a:latin typeface="Cambria Math" panose="02040503050406030204" pitchFamily="18" charset="0"/>
                    </a:rPr>
                    <m:t>√</m:t>
                  </m:r>
                  <m:sSub>
                    <m:sSub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𝑆</m:t>
                      </m:r>
                    </m:e>
                    <m:sub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𝑂</m:t>
                      </m:r>
                    </m:sub>
                  </m:sSub>
                </m:oMath>
              </a14:m>
              <a:r>
                <a:rPr lang="nl-NL" sz="1100"/>
                <a:t> </a:t>
              </a:r>
            </a:p>
            <a:p>
              <a:r>
                <a:rPr lang="nl-NL" sz="1100"/>
                <a:t>Rewriting</a:t>
              </a:r>
              <a:r>
                <a:rPr lang="nl-NL" sz="1100" baseline="0"/>
                <a:t> for water depth </a:t>
              </a:r>
              <a14:m>
                <m:oMath xmlns:m="http://schemas.openxmlformats.org/officeDocument/2006/math">
                  <m:r>
                    <a:rPr lang="en-US" sz="1100" b="0" i="1" baseline="0">
                      <a:latin typeface="Cambria Math" panose="02040503050406030204" pitchFamily="18" charset="0"/>
                    </a:rPr>
                    <m:t>𝑑</m:t>
                  </m:r>
                  <m:r>
                    <a:rPr lang="en-US" sz="1100" b="0" i="1" baseline="0">
                      <a:latin typeface="Cambria Math" panose="02040503050406030204" pitchFamily="18" charset="0"/>
                    </a:rPr>
                    <m:t>=</m:t>
                  </m:r>
                  <m:sSup>
                    <m:sSup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sSupPr>
                    <m:e>
                      <m:d>
                        <m:dPr>
                          <m:ctrlPr>
                            <a:rPr lang="en-US" sz="1100" b="0" i="1" baseline="0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f>
                            <m:fPr>
                              <m:ctrlPr>
                                <a:rPr lang="en-US" sz="1100" b="0" i="1" baseline="0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 baseline="0">
                                  <a:latin typeface="Cambria Math" panose="02040503050406030204" pitchFamily="18" charset="0"/>
                                </a:rPr>
                                <m:t>𝑄𝑛</m:t>
                              </m:r>
                            </m:num>
                            <m:den>
                              <m:r>
                                <a:rPr lang="en-US" sz="1100" b="0" i="1" baseline="0">
                                  <a:latin typeface="Cambria Math" panose="02040503050406030204" pitchFamily="18" charset="0"/>
                                </a:rPr>
                                <m:t>𝑤</m:t>
                              </m:r>
                              <m:rad>
                                <m:radPr>
                                  <m:degHide m:val="on"/>
                                  <m:ctrlP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</m:ctrlPr>
                                </m:radPr>
                                <m:deg/>
                                <m:e>
                                  <m: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  <m:t>𝑆𝑜</m:t>
                                  </m:r>
                                </m:e>
                              </m:rad>
                            </m:den>
                          </m:f>
                        </m:e>
                      </m:d>
                    </m:e>
                    <m:sup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3/5</m:t>
                      </m:r>
                    </m:sup>
                  </m:sSup>
                </m:oMath>
              </a14:m>
              <a:endParaRPr lang="nl-NL" sz="1100"/>
            </a:p>
            <a:p>
              <a:r>
                <a:rPr lang="nl-NL" sz="1100"/>
                <a:t>Prescribed</a:t>
              </a:r>
              <a:r>
                <a:rPr lang="nl-NL" sz="1100" baseline="0"/>
                <a:t> influx at upstream cell</a:t>
              </a:r>
            </a:p>
            <a:p>
              <a:r>
                <a:rPr lang="nl-NL" sz="1100" baseline="0"/>
                <a:t>For the downstream cells the outflux of the upper cell is influx for the current cell</a:t>
              </a:r>
            </a:p>
            <a:p>
              <a:r>
                <a:rPr lang="nl-NL" sz="1100" baseline="0"/>
                <a:t>For this cell the leakage and precipitation is added: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sSubSup>
                        <m:sSubSupPr>
                          <m:ctrlPr>
                            <a:rPr lang="en-US" sz="1100" b="0" i="1" baseline="0">
                              <a:latin typeface="Cambria Math" panose="02040503050406030204" pitchFamily="18" charset="0"/>
                            </a:rPr>
                          </m:ctrlPr>
                        </m:sSubSupPr>
                        <m:e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𝑄</m:t>
                          </m:r>
                        </m:e>
                        <m:sub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𝑠𝑡𝑟</m:t>
                          </m:r>
                        </m:sub>
                        <m:sup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𝑟</m:t>
                          </m:r>
                        </m:sup>
                      </m:sSubSup>
                    </m:e>
                    <m:sub/>
                  </m:sSub>
                  <m:r>
                    <a:rPr lang="en-US" sz="1100" b="0" i="1" baseline="0">
                      <a:latin typeface="Cambria Math" panose="02040503050406030204" pitchFamily="18" charset="0"/>
                    </a:rPr>
                    <m:t>=</m:t>
                  </m:r>
                  <m:sSubSup>
                    <m:sSubSup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𝑠𝑡𝑟</m:t>
                      </m:r>
                    </m:sub>
                    <m:sup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𝑟</m:t>
                      </m:r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−1</m:t>
                      </m:r>
                    </m:sup>
                  </m:sSubSup>
                  <m:r>
                    <a:rPr lang="en-US" sz="1100" b="0" i="0" baseline="0"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n-US" sz="1100" b="0" i="0" baseline="0">
                          <a:latin typeface="Cambria Math" panose="02040503050406030204" pitchFamily="18" charset="0"/>
                        </a:rPr>
                        <m:t>Q</m:t>
                      </m:r>
                    </m:e>
                    <m:sub>
                      <m:r>
                        <m:rPr>
                          <m:sty m:val="p"/>
                        </m:rPr>
                        <a:rPr lang="en-US" sz="1100" b="0" i="0" baseline="0">
                          <a:latin typeface="Cambria Math" panose="02040503050406030204" pitchFamily="18" charset="0"/>
                        </a:rPr>
                        <m:t>ppn</m:t>
                      </m:r>
                    </m:sub>
                  </m:sSub>
                  <m:r>
                    <a:rPr lang="en-US" sz="1100" b="0" i="0" baseline="0"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n-US" sz="1100" b="0" i="0" baseline="0">
                          <a:latin typeface="Cambria Math" panose="02040503050406030204" pitchFamily="18" charset="0"/>
                        </a:rPr>
                        <m:t>Q</m:t>
                      </m:r>
                    </m:e>
                    <m:sub>
                      <m:r>
                        <m:rPr>
                          <m:sty m:val="p"/>
                        </m:rPr>
                        <a:rPr lang="en-US" sz="1100" b="0" i="0" baseline="0">
                          <a:latin typeface="Cambria Math" panose="02040503050406030204" pitchFamily="18" charset="0"/>
                        </a:rPr>
                        <m:t>leakage</m:t>
                      </m:r>
                    </m:sub>
                  </m:sSub>
                </m:oMath>
              </a14:m>
              <a:r>
                <a:rPr lang="nl-NL" sz="1100"/>
                <a:t> So</a:t>
              </a:r>
              <a:r>
                <a:rPr lang="nl-NL" sz="1100" baseline="0"/>
                <a:t> this is an explicit approach and care should be taken regarding abrupt changes, hence the "initialize" cell at C37</a:t>
              </a:r>
            </a:p>
            <a:p>
              <a:endParaRPr lang="nl-NL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2E1E637-C28D-E34F-138F-0114EBEA2DC0}"/>
                </a:ext>
              </a:extLst>
            </xdr:cNvPr>
            <xdr:cNvSpPr txBox="1"/>
          </xdr:nvSpPr>
          <xdr:spPr>
            <a:xfrm>
              <a:off x="1171575" y="7191375"/>
              <a:ext cx="7658100" cy="30003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nl-NL" sz="1100"/>
                <a:t>Set up coupling</a:t>
              </a:r>
              <a:r>
                <a:rPr lang="nl-NL" sz="1100" baseline="0"/>
                <a:t> Stream and Aquifer interaction (two way interaction)</a:t>
              </a:r>
            </a:p>
            <a:p>
              <a:endParaRPr lang="nl-NL" sz="1100" baseline="0"/>
            </a:p>
            <a:p>
              <a:r>
                <a:rPr lang="nl-NL" sz="1100" baseline="0"/>
                <a:t>Manning equation for wide rectanular streams -&gt;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𝑄_𝑚=1/𝑛 (𝑤𝑑/(𝑤+2𝑑))^(5/3)√𝑆_𝑂</a:t>
              </a:r>
              <a:r>
                <a:rPr lang="nl-NL" sz="1100"/>
                <a:t> </a:t>
              </a:r>
            </a:p>
            <a:p>
              <a:r>
                <a:rPr lang="nl-NL" sz="1100"/>
                <a:t>Rewriting</a:t>
              </a:r>
              <a:r>
                <a:rPr lang="nl-NL" sz="1100" baseline="0"/>
                <a:t> for water depth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𝑑=(𝑄𝑛/(𝑤√𝑆𝑜))^(3/5)</a:t>
              </a:r>
              <a:endParaRPr lang="nl-NL" sz="1100"/>
            </a:p>
            <a:p>
              <a:r>
                <a:rPr lang="nl-NL" sz="1100"/>
                <a:t>Prescribed</a:t>
              </a:r>
              <a:r>
                <a:rPr lang="nl-NL" sz="1100" baseline="0"/>
                <a:t> influx at upstream cell</a:t>
              </a:r>
            </a:p>
            <a:p>
              <a:r>
                <a:rPr lang="nl-NL" sz="1100" baseline="0"/>
                <a:t>For the downstream cells the outflux of the upper cell is influx for the current cell</a:t>
              </a:r>
            </a:p>
            <a:p>
              <a:r>
                <a:rPr lang="nl-NL" sz="1100" baseline="0"/>
                <a:t>For this cell the leakage and precipitation is added: </a:t>
              </a:r>
              <a:r>
                <a:rPr lang="en-US" sz="1100" b="0" i="0" baseline="0">
                  <a:latin typeface="Cambria Math" panose="02040503050406030204" pitchFamily="18" charset="0"/>
                </a:rPr>
                <a:t>〖𝑄_𝑠𝑡𝑟^𝑟〗_ =𝑄_𝑠𝑡𝑟^(𝑟−1)+Q_ppn+Q_leakage</a:t>
              </a:r>
              <a:r>
                <a:rPr lang="nl-NL" sz="1100"/>
                <a:t> So</a:t>
              </a:r>
              <a:r>
                <a:rPr lang="nl-NL" sz="1100" baseline="0"/>
                <a:t> this is an explicit approach and care should be taken regarding abrupt changes, hence the "initialize" cell at C37</a:t>
              </a:r>
            </a:p>
            <a:p>
              <a:endParaRPr lang="nl-NL"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428625</xdr:colOff>
      <xdr:row>0</xdr:row>
      <xdr:rowOff>95250</xdr:rowOff>
    </xdr:from>
    <xdr:ext cx="2743200" cy="118814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1647825" y="95250"/>
          <a:ext cx="2743200" cy="1188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l-NL" sz="1400"/>
            <a:t>Visible are</a:t>
          </a:r>
          <a:r>
            <a:rPr lang="nl-NL" sz="1400" baseline="0"/>
            <a:t> the </a:t>
          </a:r>
          <a:r>
            <a:rPr lang="nl-NL" sz="1400" i="1" baseline="0"/>
            <a:t>external </a:t>
          </a:r>
          <a:r>
            <a:rPr lang="nl-NL" sz="1400" i="0" baseline="0"/>
            <a:t>fluxes:</a:t>
          </a:r>
        </a:p>
        <a:p>
          <a:r>
            <a:rPr lang="nl-NL" sz="1400" i="0" baseline="0"/>
            <a:t>- Flow at the boundary (fixed head)</a:t>
          </a:r>
        </a:p>
        <a:p>
          <a:r>
            <a:rPr lang="nl-NL" sz="1400" i="0" baseline="0"/>
            <a:t>- Recharge</a:t>
          </a:r>
        </a:p>
        <a:p>
          <a:r>
            <a:rPr lang="nl-NL" sz="1400" i="0" baseline="0"/>
            <a:t>- Well(s)</a:t>
          </a:r>
        </a:p>
        <a:p>
          <a:r>
            <a:rPr lang="nl-NL" sz="1400" i="0" baseline="0"/>
            <a:t>- Top systems</a:t>
          </a:r>
          <a:endParaRPr lang="nl-NL" sz="14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abSelected="1" workbookViewId="0">
      <selection activeCell="P47" sqref="P47"/>
    </sheetView>
  </sheetViews>
  <sheetFormatPr defaultRowHeight="12.75" x14ac:dyDescent="0.2"/>
  <cols>
    <col min="3" max="3" width="12.42578125" bestFit="1" customWidth="1"/>
    <col min="5" max="5" width="12.28515625" customWidth="1"/>
  </cols>
  <sheetData>
    <row r="1" spans="1:13" ht="13.5" thickBot="1" x14ac:dyDescent="0.25">
      <c r="A1" s="1" t="s">
        <v>4</v>
      </c>
      <c r="B1" s="1"/>
      <c r="E1" s="1" t="s">
        <v>9</v>
      </c>
      <c r="F1" s="1"/>
      <c r="G1" s="1" t="s">
        <v>10</v>
      </c>
      <c r="H1" s="1">
        <f ca="1">1+H1</f>
        <v>85740</v>
      </c>
      <c r="J1" s="7" t="s">
        <v>54</v>
      </c>
      <c r="K1" s="8"/>
      <c r="L1" s="8"/>
      <c r="M1" s="8"/>
    </row>
    <row r="2" spans="1:13" ht="13.5" thickTop="1" x14ac:dyDescent="0.2">
      <c r="E2" t="s">
        <v>11</v>
      </c>
      <c r="F2">
        <f ca="1">G2</f>
        <v>8.6616211656447195</v>
      </c>
      <c r="G2">
        <f ca="1">M10</f>
        <v>8.6616209456204381</v>
      </c>
      <c r="H2">
        <f ca="1">F2-G2</f>
        <v>2.2002428146095099E-7</v>
      </c>
      <c r="J2" s="9"/>
      <c r="K2" s="9" t="s">
        <v>12</v>
      </c>
      <c r="L2" s="9" t="s">
        <v>13</v>
      </c>
      <c r="M2" s="10" t="s">
        <v>56</v>
      </c>
    </row>
    <row r="3" spans="1:13" x14ac:dyDescent="0.2">
      <c r="A3" t="s">
        <v>5</v>
      </c>
      <c r="B3">
        <f>SUM(kd!C8:L8)</f>
        <v>1000</v>
      </c>
      <c r="E3" t="s">
        <v>1</v>
      </c>
      <c r="F3">
        <v>1.9</v>
      </c>
      <c r="J3" s="13" t="s">
        <v>14</v>
      </c>
      <c r="K3" s="9">
        <f>qext!C4</f>
        <v>285</v>
      </c>
      <c r="L3" s="9"/>
      <c r="M3" s="9">
        <f t="shared" ref="M3:M6" si="0">ABS(K3)-ABS(L3)</f>
        <v>285</v>
      </c>
    </row>
    <row r="4" spans="1:13" x14ac:dyDescent="0.2">
      <c r="A4" t="s">
        <v>6</v>
      </c>
      <c r="B4">
        <f>SUM(kd!A10:A19)</f>
        <v>100</v>
      </c>
      <c r="J4" s="13" t="s">
        <v>15</v>
      </c>
      <c r="K4" s="9">
        <f ca="1">wbal!E26</f>
        <v>0</v>
      </c>
      <c r="L4" s="9">
        <f ca="1">wbal!E27</f>
        <v>-3.8552354691417388</v>
      </c>
      <c r="M4" s="9">
        <f t="shared" ca="1" si="0"/>
        <v>-3.8552354691417388</v>
      </c>
    </row>
    <row r="5" spans="1:13" x14ac:dyDescent="0.2">
      <c r="J5" s="13" t="s">
        <v>16</v>
      </c>
      <c r="K5" s="9"/>
      <c r="L5" s="9">
        <f>well</f>
        <v>0</v>
      </c>
      <c r="M5" s="9">
        <f t="shared" si="0"/>
        <v>0</v>
      </c>
    </row>
    <row r="6" spans="1:13" ht="13.5" thickBot="1" x14ac:dyDescent="0.25">
      <c r="J6" s="14" t="s">
        <v>55</v>
      </c>
      <c r="K6" s="11">
        <f ca="1">wbal!G27</f>
        <v>0</v>
      </c>
      <c r="L6" s="11">
        <f ca="1">wbal!G26</f>
        <v>-281.14458280565822</v>
      </c>
      <c r="M6" s="11">
        <f t="shared" ca="1" si="0"/>
        <v>-281.14458280565822</v>
      </c>
    </row>
    <row r="7" spans="1:13" ht="13.5" thickTop="1" x14ac:dyDescent="0.2">
      <c r="J7" s="15" t="s">
        <v>17</v>
      </c>
      <c r="K7" s="12">
        <f ca="1">SUM(K3:K6)</f>
        <v>285</v>
      </c>
      <c r="L7" s="12">
        <f ca="1">SUM(L3:L6)</f>
        <v>-284.99981827479996</v>
      </c>
      <c r="M7" s="12">
        <f ca="1">ABS(K7)-ABS(L7)</f>
        <v>1.8172520003645332E-4</v>
      </c>
    </row>
    <row r="8" spans="1:13" x14ac:dyDescent="0.2">
      <c r="B8" t="s">
        <v>8</v>
      </c>
      <c r="C8">
        <v>0</v>
      </c>
      <c r="D8">
        <f>C8+kd!C8</f>
        <v>100</v>
      </c>
      <c r="E8">
        <f>D8+kd!D8</f>
        <v>200</v>
      </c>
      <c r="F8">
        <f>E8+kd!E8</f>
        <v>300</v>
      </c>
      <c r="G8">
        <f>F8+kd!F8</f>
        <v>400</v>
      </c>
      <c r="H8">
        <f>G8+kd!G8</f>
        <v>500</v>
      </c>
      <c r="I8">
        <f>H8+kd!H8</f>
        <v>600</v>
      </c>
      <c r="J8">
        <f>I8+kd!I8</f>
        <v>700</v>
      </c>
      <c r="K8">
        <f>J8+kd!J8</f>
        <v>800</v>
      </c>
      <c r="L8">
        <f>K8+kd!K8</f>
        <v>900</v>
      </c>
      <c r="M8">
        <f>L8+kd!L8</f>
        <v>1000</v>
      </c>
    </row>
    <row r="9" spans="1:13" x14ac:dyDescent="0.2">
      <c r="A9" t="s">
        <v>7</v>
      </c>
    </row>
    <row r="10" spans="1:13" x14ac:dyDescent="0.2">
      <c r="A10">
        <v>0</v>
      </c>
      <c r="C10">
        <v>6</v>
      </c>
      <c r="D10">
        <f ca="1">(1-relaxf)*D10+relaxf*(D9*north!D10+H!E10*east!D10+H!D11*south!D10+H!C10*west!D10+qext!D10)/(north!D10+east!D10+south!D10+west!D10)</f>
        <v>6.175170538789498</v>
      </c>
      <c r="E10">
        <f ca="1">(1-relaxf)*E10+relaxf*(E9*north!E10+H!F10*east!E10+H!E11*south!E10+H!D10*west!E10+qext!E10)/(north!E10+east!E10+south!E10+west!E10)</f>
        <v>6.4342356463498263</v>
      </c>
      <c r="F10">
        <f ca="1">(1-relaxf)*F10+relaxf*(F9*north!F10+H!G10*east!F10+H!F11*south!F10+H!E10*west!F10+qext!F10)/(north!F10+east!F10+south!F10+west!F10)</f>
        <v>6.7244348145686912</v>
      </c>
      <c r="G10">
        <f ca="1">(1-relaxf)*G10+relaxf*(G9*north!G10+H!H10*east!G10+H!G11*south!G10+H!F10*west!G10+qext!G10)/(north!G10+east!G10+south!G10+west!G10)</f>
        <v>7.0220768694639943</v>
      </c>
      <c r="H10">
        <f ca="1">(1-relaxf)*H10+relaxf*(H9*north!H10+H!I10*east!H10+H!H11*south!H10+H!G10*west!H10+qext!H10)/(north!H10+east!H10+south!H10+west!H10)</f>
        <v>7.3213771569597172</v>
      </c>
      <c r="I10">
        <f ca="1">(1-relaxf)*I10+relaxf*(I9*north!I10+H!J10*east!I10+H!I11*south!I10+H!H10*west!I10+qext!I10)/(north!I10+east!I10+south!I10+west!I10)</f>
        <v>7.6208074063568549</v>
      </c>
      <c r="J10">
        <f ca="1">(1-relaxf)*J10+relaxf*(J9*north!J10+H!K10*east!J10+H!J11*south!J10+H!I10*west!J10+qext!J10)/(north!J10+east!J10+south!J10+west!J10)</f>
        <v>7.9191741440408654</v>
      </c>
      <c r="K10">
        <f ca="1">(1-relaxf)*K10+relaxf*(K9*north!K10+H!L10*east!K10+H!K11*south!K10+H!J10*west!K10+qext!K10)/(north!K10+east!K10+south!K10+west!K10)</f>
        <v>8.2125336821603767</v>
      </c>
      <c r="L10">
        <f ca="1">(1-relaxf)*L10+relaxf*(L9*north!L10+H!M10*east!L10+H!L11*south!L10+H!K10*west!L10+qext!L10)/(north!L10+east!L10+south!L10+west!L10)</f>
        <v>8.4840258249348217</v>
      </c>
      <c r="M10">
        <f ca="1">(1-relaxf)*M10+relaxf*(M9*north!M10+H!N10*east!M10+H!M11*south!M10+H!L10*west!M10+qext!M10)/(north!M10+east!M10+south!M10+west!M10)</f>
        <v>8.6616207419312605</v>
      </c>
    </row>
    <row r="11" spans="1:13" x14ac:dyDescent="0.2">
      <c r="A11">
        <f>A10+kd!A10</f>
        <v>10</v>
      </c>
      <c r="C11">
        <v>6</v>
      </c>
      <c r="D11">
        <f ca="1">(1-relaxf)*D11+relaxf*(D10*north!D11+H!E11*east!D11+H!D12*south!D11+H!C11*west!D11+qext!D11)/(north!D11+east!D11+south!D11+west!D11)</f>
        <v>6.1697510845825949</v>
      </c>
      <c r="E11">
        <f ca="1">(1-relaxf)*E11+relaxf*(E10*north!E11+H!F11*east!E11+H!E12*south!E11+H!D11*west!E11+qext!E11)/(north!E11+east!E11+south!E11+west!E11)</f>
        <v>6.4290800069043508</v>
      </c>
      <c r="F11">
        <f ca="1">(1-relaxf)*F11+relaxf*(F10*north!F11+H!G11*east!F11+H!F12*south!F11+H!E11*west!F11+qext!F11)/(north!F11+east!F11+south!F11+west!F11)</f>
        <v>6.7193976303076681</v>
      </c>
      <c r="G11">
        <f ca="1">(1-relaxf)*G11+relaxf*(G10*north!G11+H!H11*east!G11+H!G12*south!G11+H!F11*west!G11+qext!G11)/(north!G11+east!G11+south!G11+west!G11)</f>
        <v>7.0170686025666473</v>
      </c>
      <c r="H11">
        <f ca="1">(1-relaxf)*H11+relaxf*(H10*north!H11+H!I11*east!H11+H!H12*south!H11+H!G11*west!H11+qext!H11)/(north!H11+east!H11+south!H11+west!H11)</f>
        <v>7.3163765351424237</v>
      </c>
      <c r="I11">
        <f ca="1">(1-relaxf)*I11+relaxf*(I10*north!I11+H!J11*east!I11+H!I12*south!I11+H!H11*west!I11+qext!I11)/(north!I11+east!I11+south!I11+west!I11)</f>
        <v>7.6158127643677176</v>
      </c>
      <c r="J11">
        <f ca="1">(1-relaxf)*J11+relaxf*(J10*north!J11+H!K11*east!J11+H!J12*south!J11+H!I11*west!J11+qext!J11)/(north!J11+east!J11+south!J11+west!J11)</f>
        <v>7.9141991834804779</v>
      </c>
      <c r="K11">
        <f ca="1">(1-relaxf)*K11+relaxf*(K10*north!K11+H!L11*east!K11+H!K12*south!K11+H!J11*west!K11+qext!K11)/(north!K11+east!K11+south!K11+west!K11)</f>
        <v>8.2076430159661093</v>
      </c>
      <c r="L11">
        <f ca="1">(1-relaxf)*L11+relaxf*(L10*north!L11+H!M11*east!L11+H!L12*south!L11+H!K11*west!L11+qext!L11)/(north!L11+east!L11+south!L11+west!L11)</f>
        <v>8.479495310925401</v>
      </c>
      <c r="M11">
        <f ca="1">(1-relaxf)*M11+relaxf*(M10*north!M11+H!N11*east!M11+H!M12*south!M11+H!L11*west!M11+qext!M11)/(north!M11+east!M11+south!M11+west!M11)</f>
        <v>8.6583968077038982</v>
      </c>
    </row>
    <row r="12" spans="1:13" x14ac:dyDescent="0.2">
      <c r="A12">
        <f>A11+kd!A11</f>
        <v>20</v>
      </c>
      <c r="C12">
        <v>6</v>
      </c>
      <c r="D12">
        <f ca="1">(1-relaxf)*D12+relaxf*(D11*north!D12+H!E12*east!D12+H!D13*south!D12+H!C12*west!D12+qext!D12)/(north!D12+east!D12+south!D12+west!D12)</f>
        <v>6.1534358478702975</v>
      </c>
      <c r="E12">
        <f ca="1">(1-relaxf)*E12+relaxf*(E11*north!E12+H!F12*east!E12+H!E13*south!E12+H!D12*west!E12+qext!E12)/(north!E12+east!E12+south!E12+west!E12)</f>
        <v>6.4136144592163085</v>
      </c>
      <c r="F12">
        <f ca="1">(1-relaxf)*F12+relaxf*(F11*north!F12+H!G12*east!F12+H!F13*south!F12+H!E12*west!F12+qext!F12)/(north!F12+east!F12+south!F12+west!F12)</f>
        <v>6.704286864119152</v>
      </c>
      <c r="G12">
        <f ca="1">(1-relaxf)*G12+relaxf*(G11*north!G12+H!H12*east!G12+H!G13*south!G12+H!F12*west!G12+qext!G12)/(north!G12+east!G12+south!G12+west!G12)</f>
        <v>7.002043902593047</v>
      </c>
      <c r="H12">
        <f ca="1">(1-relaxf)*H12+relaxf*(H11*north!H12+H!I12*east!H12+H!H13*south!H12+H!G12*west!H12+qext!H12)/(north!H12+east!H12+south!H12+west!H12)</f>
        <v>7.3013745792184306</v>
      </c>
      <c r="I12">
        <f ca="1">(1-relaxf)*I12+relaxf*(I11*north!I12+H!J12*east!I12+H!I13*south!I12+H!H12*west!I12+qext!I12)/(north!I12+east!I12+south!I12+west!I12)</f>
        <v>7.6008285598563727</v>
      </c>
      <c r="J12">
        <f ca="1">(1-relaxf)*J12+relaxf*(J11*north!J12+H!K12*east!J12+H!J13*south!J12+H!I12*west!J12+qext!J12)/(north!J12+east!J12+south!J12+west!J12)</f>
        <v>7.8992736052477506</v>
      </c>
      <c r="K12">
        <f ca="1">(1-relaxf)*K12+relaxf*(K11*north!K12+H!L12*east!K12+H!K13*south!K12+H!J12*west!K12+qext!K12)/(north!K12+east!K12+south!K12+west!K12)</f>
        <v>8.1929682311529248</v>
      </c>
      <c r="L12">
        <f ca="1">(1-relaxf)*L12+relaxf*(L11*north!L12+H!M12*east!L12+H!L13*south!L12+H!K12*west!L12+qext!L12)/(north!L12+east!L12+south!L12+west!L12)</f>
        <v>8.4658943455732576</v>
      </c>
      <c r="M12">
        <f ca="1">(1-relaxf)*M12+relaxf*(M11*north!M12+H!N12*east!M12+H!M13*south!M12+H!L12*west!M12+qext!M12)/(north!M12+east!M12+south!M12+west!M12)</f>
        <v>8.6487507722950205</v>
      </c>
    </row>
    <row r="13" spans="1:13" x14ac:dyDescent="0.2">
      <c r="A13">
        <f>A12+kd!A12</f>
        <v>30</v>
      </c>
      <c r="C13">
        <v>6</v>
      </c>
      <c r="D13">
        <f ca="1">(1-relaxf)*D13+relaxf*(D12*north!D13+H!E13*east!D13+H!D14*south!D13+H!C13*west!D13+qext!D13)/(north!D13+east!D13+south!D13+west!D13)</f>
        <v>6.1260531685002642</v>
      </c>
      <c r="E13">
        <f ca="1">(1-relaxf)*E13+relaxf*(E12*north!E13+H!F13*east!E13+H!E14*south!E13+H!D13*west!E13+qext!E13)/(north!E13+east!E13+south!E13+west!E13)</f>
        <v>6.3878439645644898</v>
      </c>
      <c r="F13">
        <f ca="1">(1-relaxf)*F13+relaxf*(F12*north!F13+H!G13*east!F13+H!F14*south!F13+H!E13*west!F13+qext!F13)/(north!F13+east!F13+south!F13+west!F13)</f>
        <v>6.6791052432129909</v>
      </c>
      <c r="G13">
        <f ca="1">(1-relaxf)*G13+relaxf*(G12*north!G13+H!H13*east!G13+H!G14*south!G13+H!F13*west!G13+qext!G13)/(north!G13+east!G13+south!G13+west!G13)</f>
        <v>6.9770034505855394</v>
      </c>
      <c r="H13">
        <f ca="1">(1-relaxf)*H13+relaxf*(H12*north!H13+H!I13*east!H13+H!H14*south!H13+H!G13*west!H13+qext!H13)/(north!H13+east!H13+south!H13+west!H13)</f>
        <v>7.2763713658738363</v>
      </c>
      <c r="I13">
        <f ca="1">(1-relaxf)*I13+relaxf*(I12*north!I13+H!J13*east!I13+H!I14*south!I13+H!H13*west!I13+qext!I13)/(north!I13+east!I13+south!I13+west!I13)</f>
        <v>7.5758544122676623</v>
      </c>
      <c r="J13">
        <f ca="1">(1-relaxf)*J13+relaxf*(J12*north!J13+H!K13*east!J13+H!J14*south!J13+H!I13*west!J13+qext!J13)/(north!J13+east!J13+south!J13+west!J13)</f>
        <v>7.8743955132228338</v>
      </c>
      <c r="K13">
        <f ca="1">(1-relaxf)*K13+relaxf*(K12*north!K13+H!L13*east!K13+H!K14*south!K13+H!J13*west!K13+qext!K13)/(north!K13+east!K13+south!K13+west!K13)</f>
        <v>8.1685011590215737</v>
      </c>
      <c r="L13">
        <f ca="1">(1-relaxf)*L13+relaxf*(L12*north!L13+H!M13*east!L13+H!L14*south!L13+H!K13*west!L13+qext!L13)/(north!L13+east!L13+south!L13+west!L13)</f>
        <v>8.443193992737493</v>
      </c>
      <c r="M13">
        <f ca="1">(1-relaxf)*M13+relaxf*(M12*north!M13+H!N13*east!M13+H!M14*south!M13+H!L13*west!M13+qext!M13)/(north!M13+east!M13+south!M13+west!M13)</f>
        <v>8.6327618506524608</v>
      </c>
    </row>
    <row r="14" spans="1:13" ht="13.5" thickBot="1" x14ac:dyDescent="0.25">
      <c r="A14">
        <f>A13+kd!A13</f>
        <v>40</v>
      </c>
      <c r="C14">
        <v>6</v>
      </c>
      <c r="D14">
        <f ca="1">(1-relaxf)*D14+relaxf*(D13*north!D14+H!E14*east!D14+H!D15*south!D14+H!C14*west!D14+qext!D14)/(north!D14+east!D14+south!D14+west!D14)</f>
        <v>6.0873131107697125</v>
      </c>
      <c r="E14">
        <f ca="1">(1-relaxf)*E14+relaxf*(E13*north!E14+H!F14*east!E14+H!E15*south!E14+H!D14*west!E14+qext!E14)/(north!E14+east!E14+south!E14+west!E14)</f>
        <v>6.35177877536574</v>
      </c>
      <c r="F14">
        <f ca="1">(1-relaxf)*F14+relaxf*(F13*north!F14+H!G14*east!F14+H!F15*south!F14+H!E14*west!F14+qext!F14)/(north!F14+east!F14+south!F14+west!F14)</f>
        <v>6.643857293235981</v>
      </c>
      <c r="G14">
        <f ca="1">(1-relaxf)*G14+relaxf*(G13*north!G14+H!H14*east!G14+H!G15*south!G14+H!F14*west!G14+qext!G14)/(north!G14+east!G14+south!G14+west!G14)</f>
        <v>6.9419483644165236</v>
      </c>
      <c r="H14">
        <f ca="1">(1-relaxf)*H14+relaxf*(H13*north!H14+H!I14*east!H14+H!H15*south!H14+H!G14*west!H14+qext!H14)/(north!H14+east!H14+south!H14+west!H14)</f>
        <v>7.2413670651626214</v>
      </c>
      <c r="I14">
        <f ca="1">(1-relaxf)*I14+relaxf*(I13*north!I14+H!J14*east!I14+H!I15*south!I14+H!H14*west!I14+qext!I14)/(north!I14+east!I14+south!I14+west!I14)</f>
        <v>7.5408897489552267</v>
      </c>
      <c r="J14">
        <f ca="1">(1-relaxf)*J14+relaxf*(J13*north!J14+H!K14*east!J14+H!J15*south!J14+H!I14*west!J14+qext!J14)/(north!J14+east!J14+south!J14+west!J14)</f>
        <v>7.8395618666643747</v>
      </c>
      <c r="K14">
        <f ca="1">(1-relaxf)*K14+relaxf*(K13*north!K14+H!L14*east!K14+H!K15*south!K14+H!J14*west!K14+qext!K14)/(north!K14+east!K14+south!K14+west!K14)</f>
        <v>8.1342282459659518</v>
      </c>
      <c r="L14">
        <f ca="1">(1-relaxf)*L14+relaxf*(L13*north!L14+H!M14*east!L14+H!L15*south!L14+H!K14*west!L14+qext!L14)/(north!L14+east!L14+south!L14+west!L14)</f>
        <v>8.4113449693410764</v>
      </c>
      <c r="M14">
        <f ca="1">(1-relaxf)*M14+relaxf*(M13*north!M14+H!N14*east!M14+H!M15*south!M14+H!L14*west!M14+qext!M14)/(north!M14+east!M14+south!M14+west!M14)</f>
        <v>8.6105644265168664</v>
      </c>
    </row>
    <row r="15" spans="1:13" ht="13.5" thickBot="1" x14ac:dyDescent="0.25">
      <c r="A15">
        <f>A14+kd!A14</f>
        <v>50</v>
      </c>
      <c r="C15" s="4">
        <v>6</v>
      </c>
      <c r="D15" s="5">
        <f ca="1">(1-relaxf)*D15+relaxf*(D14*north!D15+H!E15*east!D15+H!D16*south!D15+H!C15*west!D15+qext!D15+D39*D24*D25/D26)/(north!D15+east!D15+south!D15+west!D15+D24*D25/D26)</f>
        <v>6.0368015295596855</v>
      </c>
      <c r="E15" s="5">
        <f ca="1">(1-relaxf)*E15+relaxf*(E14*north!E15+H!F15*east!E15+H!E16*south!E15+H!D15*west!E15+qext!E15+E39*E24*E25/E26)/(north!E15+east!E15+south!E15+west!E15+E24*E25/E26)</f>
        <v>6.3054374501557167</v>
      </c>
      <c r="F15" s="5">
        <f ca="1">(1-relaxf)*F15+relaxf*(F14*north!F15+H!G15*east!F15+H!F16*south!F15+H!E15*west!F15+qext!F15+F39*F24*F25/F26)/(north!F15+east!F15+south!F15+west!F15+F24*F25/F26)</f>
        <v>6.5985492054771191</v>
      </c>
      <c r="G15" s="5">
        <f ca="1">(1-relaxf)*G15+relaxf*(G14*north!G15+H!H15*east!G15+H!G16*south!G15+H!F15*west!G15+qext!G15+G39*G24*G25/G26)/(north!G15+east!G15+south!G15+west!G15+G24*G25/G26)</f>
        <v>6.8968800018707599</v>
      </c>
      <c r="H15" s="5">
        <f ca="1">(1-relaxf)*H15+relaxf*(H14*north!H15+H!I15*east!H15+H!H16*south!H15+H!G15*west!H15+qext!H15+H39*H24*H25/H26)/(north!H15+east!H15+south!H15+west!H15+H24*H25/H26)</f>
        <v>7.1963617313355224</v>
      </c>
      <c r="I15" s="5">
        <f ca="1">(1-relaxf)*I15+relaxf*(I14*north!I15+H!J15*east!I15+H!I16*south!I15+H!H15*west!I15+qext!I15+I39*I24*I25/I26)/(north!I15+east!I15+south!I15+west!I15+I24*I25/I26)</f>
        <v>7.4959336144273907</v>
      </c>
      <c r="J15" s="5">
        <f ca="1">(1-relaxf)*J15+relaxf*(J14*north!J15+H!K15*east!J15+H!J16*south!J15+H!I15*west!J15+qext!J15+J39*J24*J25/J26)/(north!J15+east!J15+south!J15+west!J15+J24*J25/J26)</f>
        <v>7.7947682731029468</v>
      </c>
      <c r="K15" s="5">
        <f ca="1">(1-relaxf)*K15+relaxf*(K14*north!K15+H!L15*east!K15+H!K16*south!K15+H!J15*west!K15+qext!K15+K39*K24*K25/K26)/(north!K15+east!K15+south!K15+west!K15+K24*K25/K26)</f>
        <v>8.0901308318613143</v>
      </c>
      <c r="L15" s="5">
        <f ca="1">(1-relaxf)*L15+relaxf*(L14*north!L15+H!M15*east!L15+H!L16*south!L15+H!K15*west!L15+qext!L15+L39*L24*L25/L26)/(north!L15+east!L15+south!L15+west!L15+L24*L25/L26)</f>
        <v>8.3702749954469802</v>
      </c>
      <c r="M15" s="5">
        <f ca="1">(1-relaxf)*M15+relaxf*(M14*north!M15+H!N15*east!M15+H!M16*south!M15+H!L15*west!M15+qext!M15+M39*M24*M25/M26)/(north!M15+east!M15+south!M15+west!M15+M24*M25/M26)</f>
        <v>8.5823513825871238</v>
      </c>
    </row>
    <row r="16" spans="1:13" x14ac:dyDescent="0.2">
      <c r="A16">
        <f>A15+kd!A15</f>
        <v>60</v>
      </c>
      <c r="C16">
        <v>6</v>
      </c>
      <c r="D16">
        <f ca="1">(1-relaxf)*D16+relaxf*(D15*north!D16+H!E16*east!D16+H!D17*south!D16+H!C16*west!D16+qext!D16)/(north!D16+east!D16+south!D16+west!D16)</f>
        <v>6.0873131225710724</v>
      </c>
      <c r="E16">
        <f ca="1">(1-relaxf)*E16+relaxf*(E15*north!E16+H!F16*east!E16+H!E17*south!E16+H!D16*west!E16+qext!E16)/(north!E16+east!E16+south!E16+west!E16)</f>
        <v>6.3517787995303161</v>
      </c>
      <c r="F16">
        <f ca="1">(1-relaxf)*F16+relaxf*(F15*north!F16+H!G16*east!F16+H!F17*south!F16+H!E16*west!F16+qext!F16)/(north!F16+east!F16+south!F16+west!F16)</f>
        <v>6.6438573182640459</v>
      </c>
      <c r="G16">
        <f ca="1">(1-relaxf)*G16+relaxf*(G15*north!G16+H!H16*east!G16+H!G17*south!G16+H!F16*west!G16+qext!G16)/(north!G16+east!G16+south!G16+west!G16)</f>
        <v>6.9419483940984588</v>
      </c>
      <c r="H16">
        <f ca="1">(1-relaxf)*H16+relaxf*(H15*north!H16+H!I16*east!H16+H!H17*south!H16+H!G16*west!H16+qext!H16)/(north!H16+east!H16+south!H16+west!H16)</f>
        <v>7.2413671094723044</v>
      </c>
      <c r="I16">
        <f ca="1">(1-relaxf)*I16+relaxf*(I15*north!I16+H!J16*east!I16+H!I17*south!I16+H!H16*west!I16+qext!I16)/(north!I16+east!I16+south!I16+west!I16)</f>
        <v>7.5408898141758405</v>
      </c>
      <c r="J16">
        <f ca="1">(1-relaxf)*J16+relaxf*(J15*north!J16+H!K16*east!J16+H!J17*south!J16+H!I16*west!J16+qext!J16)/(north!J16+east!J16+south!J16+west!J16)</f>
        <v>7.8395619005552248</v>
      </c>
      <c r="K16">
        <f ca="1">(1-relaxf)*K16+relaxf*(K15*north!K16+H!L16*east!K16+H!K17*south!K16+H!J16*west!K16+qext!K16)/(north!K16+east!K16+south!K16+west!K16)</f>
        <v>8.1342282673133894</v>
      </c>
      <c r="L16">
        <f ca="1">(1-relaxf)*L16+relaxf*(L15*north!L16+H!M16*east!L16+H!L17*south!L16+H!K16*west!L16+qext!L16)/(north!L16+east!L16+south!L16+west!L16)</f>
        <v>8.4113450734981487</v>
      </c>
      <c r="M16">
        <f ca="1">(1-relaxf)*M16+relaxf*(M15*north!M16+H!N16*east!M16+H!M17*south!M16+H!L16*west!M16+qext!M16)/(north!M16+east!M16+south!M16+west!M16)</f>
        <v>8.6105646014587975</v>
      </c>
    </row>
    <row r="17" spans="1:15" x14ac:dyDescent="0.2">
      <c r="A17">
        <f>A16+kd!A16</f>
        <v>70</v>
      </c>
      <c r="C17">
        <v>6</v>
      </c>
      <c r="D17">
        <f ca="1">(1-relaxf)*D17+relaxf*(D16*north!D17+H!E17*east!D17+H!D18*south!D17+H!C17*west!D17+qext!D17)/(north!D17+east!D17+south!D17+west!D17)</f>
        <v>6.1260531871394148</v>
      </c>
      <c r="E17">
        <f ca="1">(1-relaxf)*E17+relaxf*(E16*north!E17+H!F17*east!E17+H!E18*south!E17+H!D17*west!E17+qext!E17)/(north!E17+east!E17+south!E17+west!E17)</f>
        <v>6.3878440041312459</v>
      </c>
      <c r="F17">
        <f ca="1">(1-relaxf)*F17+relaxf*(F16*north!F17+H!G17*east!F17+H!F18*south!F17+H!E17*west!F17+qext!F17)/(north!F17+east!F17+south!F17+west!F17)</f>
        <v>6.6791052691233732</v>
      </c>
      <c r="G17">
        <f ca="1">(1-relaxf)*G17+relaxf*(G16*north!G17+H!H17*east!G17+H!G18*south!G17+H!F17*west!G17+qext!G17)/(north!G17+east!G17+south!G17+west!G17)</f>
        <v>6.977003462680452</v>
      </c>
      <c r="H17">
        <f ca="1">(1-relaxf)*H17+relaxf*(H16*north!H17+H!I17*east!H17+H!H18*south!H17+H!G17*west!H17+qext!H17)/(north!H17+east!H17+south!H17+west!H17)</f>
        <v>7.2763714082842537</v>
      </c>
      <c r="I17">
        <f ca="1">(1-relaxf)*I17+relaxf*(I16*north!I17+H!J17*east!I17+H!I18*south!I17+H!H17*west!I17+qext!I17)/(north!I17+east!I17+south!I17+west!I17)</f>
        <v>7.5758544719441092</v>
      </c>
      <c r="J17">
        <f ca="1">(1-relaxf)*J17+relaxf*(J16*north!J17+H!K17*east!J17+H!J18*south!J17+H!I17*west!J17+qext!J17)/(north!J17+east!J17+south!J17+west!J17)</f>
        <v>7.8743955523035245</v>
      </c>
      <c r="K17">
        <f ca="1">(1-relaxf)*K17+relaxf*(K16*north!K17+H!L17*east!K17+H!K18*south!K17+H!J17*west!K17+qext!K17)/(north!K17+east!K17+south!K17+west!K17)</f>
        <v>8.1685011732248149</v>
      </c>
      <c r="L17">
        <f ca="1">(1-relaxf)*L17+relaxf*(L16*north!L17+H!M17*east!L17+H!L18*south!L17+H!K17*west!L17+qext!L17)/(north!L17+east!L17+south!L17+west!L17)</f>
        <v>8.4431941574917762</v>
      </c>
      <c r="M17">
        <f ca="1">(1-relaxf)*M17+relaxf*(M16*north!M17+H!N17*east!M17+H!M18*south!M17+H!L17*west!M17+qext!M17)/(north!M17+east!M17+south!M17+west!M17)</f>
        <v>8.6327621089289615</v>
      </c>
    </row>
    <row r="18" spans="1:15" x14ac:dyDescent="0.2">
      <c r="A18">
        <f>A17+kd!A17</f>
        <v>80</v>
      </c>
      <c r="C18">
        <v>6</v>
      </c>
      <c r="D18">
        <f ca="1">(1-relaxf)*D18+relaxf*(D17*north!D18+H!E18*east!D18+H!D19*south!D18+H!C18*west!D18+qext!D18)/(north!D18+east!D18+south!D18+west!D18)</f>
        <v>6.1534358639366875</v>
      </c>
      <c r="E18">
        <f ca="1">(1-relaxf)*E18+relaxf*(E17*north!E18+H!F18*east!E18+H!E19*south!E18+H!D18*west!E18+qext!E18)/(north!E18+east!E18+south!E18+west!E18)</f>
        <v>6.4136144958876136</v>
      </c>
      <c r="F18">
        <f ca="1">(1-relaxf)*F18+relaxf*(F17*north!F18+H!G18*east!F18+H!F19*south!F18+H!E18*west!F18+qext!F18)/(north!F18+east!F18+south!F18+west!F18)</f>
        <v>6.7042868440862344</v>
      </c>
      <c r="G18">
        <f ca="1">(1-relaxf)*G18+relaxf*(G17*north!G18+H!H18*east!G18+H!G19*south!G18+H!F18*west!G18+qext!G18)/(north!G18+east!G18+south!G18+west!G18)</f>
        <v>7.0020438233184477</v>
      </c>
      <c r="H18">
        <f ca="1">(1-relaxf)*H18+relaxf*(H17*north!H18+H!I18*east!H18+H!H19*south!H18+H!G18*west!H18+qext!H18)/(north!H18+east!H18+south!H18+west!H18)</f>
        <v>7.3013745365874358</v>
      </c>
      <c r="I18">
        <f ca="1">(1-relaxf)*I18+relaxf*(I17*north!I18+H!J18*east!I18+H!I19*south!I18+H!H18*west!I18+qext!I18)/(north!I18+east!I18+south!I18+west!I18)</f>
        <v>7.6008285236076114</v>
      </c>
      <c r="J18">
        <f ca="1">(1-relaxf)*J18+relaxf*(J17*north!J18+H!K18*east!J18+H!J19*south!J18+H!I18*west!J18+qext!J18)/(north!J18+east!J18+south!J18+west!J18)</f>
        <v>7.899273544770363</v>
      </c>
      <c r="K18">
        <f ca="1">(1-relaxf)*K18+relaxf*(K17*north!K18+H!L18*east!K18+H!K19*south!K18+H!J18*west!K18+qext!K18)/(north!K18+east!K18+south!K18+west!K18)</f>
        <v>8.1929682286882599</v>
      </c>
      <c r="L18">
        <f ca="1">(1-relaxf)*L18+relaxf*(L17*north!L18+H!M18*east!L18+H!L19*south!L18+H!K18*west!L18+qext!L18)/(north!L18+east!L18+south!L18+west!L18)</f>
        <v>8.4658944262628211</v>
      </c>
      <c r="M18">
        <f ca="1">(1-relaxf)*M18+relaxf*(M17*north!M18+H!N18*east!M18+H!M19*south!M18+H!L18*west!M18+qext!M18)/(north!M18+east!M18+south!M18+west!M18)</f>
        <v>8.648750961465451</v>
      </c>
    </row>
    <row r="19" spans="1:15" x14ac:dyDescent="0.2">
      <c r="A19">
        <f>A18+kd!A18</f>
        <v>90</v>
      </c>
      <c r="C19">
        <v>6</v>
      </c>
      <c r="D19">
        <f ca="1">(1-relaxf)*D19+relaxf*(D18*north!D19+H!E19*east!D19+H!D20*south!D19+H!C19*west!D19+qext!D19)/(north!D19+east!D19+south!D19+west!D19)</f>
        <v>6.1697511116798189</v>
      </c>
      <c r="E19">
        <f ca="1">(1-relaxf)*E19+relaxf*(E18*north!E19+H!F19*east!E19+H!E20*south!E19+H!D19*west!E19+qext!E19)/(north!E19+east!E19+south!E19+west!E19)</f>
        <v>6.4290800566438699</v>
      </c>
      <c r="F19">
        <f ca="1">(1-relaxf)*F19+relaxf*(F18*north!F19+H!G19*east!F19+H!F20*south!F19+H!E19*west!F19+qext!F19)/(north!F19+east!F19+south!F19+west!F19)</f>
        <v>6.7193976022123296</v>
      </c>
      <c r="G19">
        <f ca="1">(1-relaxf)*G19+relaxf*(G18*north!G19+H!H19*east!G19+H!G20*south!G19+H!F19*west!G19+qext!G19)/(north!G19+east!G19+south!G19+west!G19)</f>
        <v>7.0170684953324267</v>
      </c>
      <c r="H19">
        <f ca="1">(1-relaxf)*H19+relaxf*(H18*north!H19+H!I19*east!H19+H!H20*south!H19+H!G19*west!H19+qext!H19)/(north!H19+east!H19+south!H19+west!H19)</f>
        <v>7.3163764804414484</v>
      </c>
      <c r="I19">
        <f ca="1">(1-relaxf)*I19+relaxf*(I18*north!I19+H!J19*east!I19+H!I20*south!I19+H!H19*west!I19+qext!I19)/(north!I19+east!I19+south!I19+west!I19)</f>
        <v>7.6158127143145711</v>
      </c>
      <c r="J19">
        <f ca="1">(1-relaxf)*J19+relaxf*(J18*north!J19+H!K19*east!J19+H!J20*south!J19+H!I19*west!J19+qext!J19)/(north!J19+east!J19+south!J19+west!J19)</f>
        <v>7.9141991113736259</v>
      </c>
      <c r="K19">
        <f ca="1">(1-relaxf)*K19+relaxf*(K18*north!K19+H!L19*east!K19+H!K20*south!K19+H!J19*west!K19+qext!K19)/(north!K19+east!K19+south!K19+west!K19)</f>
        <v>8.2076429929055958</v>
      </c>
      <c r="L19">
        <f ca="1">(1-relaxf)*L19+relaxf*(L18*north!L19+H!M19*east!L19+H!L20*south!L19+H!K19*west!L19+qext!L19)/(north!L19+east!L19+south!L19+west!L19)</f>
        <v>8.4794954526790409</v>
      </c>
      <c r="M19">
        <f ca="1">(1-relaxf)*M19+relaxf*(M18*north!M19+H!N19*east!M19+H!M20*south!M19+H!L19*west!M19+qext!M19)/(north!M19+east!M19+south!M19+west!M19)</f>
        <v>8.6583970518056823</v>
      </c>
    </row>
    <row r="20" spans="1:15" x14ac:dyDescent="0.2">
      <c r="A20">
        <f>A19+kd!A19</f>
        <v>100</v>
      </c>
      <c r="C20">
        <v>6</v>
      </c>
      <c r="D20">
        <f ca="1">(1-relaxf)*D20+relaxf*(D19*north!D20+H!E20*east!D20+H!D21*south!D20+H!C20*west!D20+qext!D20)/(north!D20+east!D20+south!D20+west!D20)</f>
        <v>6.1751705832285406</v>
      </c>
      <c r="E20">
        <f ca="1">(1-relaxf)*E20+relaxf*(E19*north!E20+H!F20*east!E20+H!E21*south!E20+H!D20*west!E20+qext!E20)/(north!E20+east!E20+south!E20+west!E20)</f>
        <v>6.4342357255646609</v>
      </c>
      <c r="F20">
        <f ca="1">(1-relaxf)*F20+relaxf*(F19*north!F20+H!G20*east!F20+H!F21*south!F20+H!E20*west!F20+qext!F20)/(north!F20+east!F20+south!F20+west!F20)</f>
        <v>6.724434817414755</v>
      </c>
      <c r="G20">
        <f ca="1">(1-relaxf)*G20+relaxf*(G19*north!G20+H!H20*east!G20+H!G21*south!G20+H!F20*west!G20+qext!G20)/(north!G20+east!G20+south!G20+west!G20)</f>
        <v>7.0220767967140088</v>
      </c>
      <c r="H20">
        <f ca="1">(1-relaxf)*H20+relaxf*(H19*north!H20+H!I20*east!H20+H!H21*south!H20+H!G20*west!H20+qext!H20)/(north!H20+east!H20+south!H20+west!H20)</f>
        <v>7.3213771464472366</v>
      </c>
      <c r="I20">
        <f ca="1">(1-relaxf)*I20+relaxf*(I19*north!I20+H!J20*east!I20+H!I21*south!I20+H!H20*west!I20+qext!I20)/(north!I20+east!I20+south!I20+west!I20)</f>
        <v>7.6208074217126844</v>
      </c>
      <c r="J20">
        <f ca="1">(1-relaxf)*J20+relaxf*(J19*north!J20+H!K20*east!J20+H!J21*south!J20+H!I20*west!J20+qext!J20)/(north!J20+east!J20+south!J20+west!J20)</f>
        <v>7.919174099910828</v>
      </c>
      <c r="K20">
        <f ca="1">(1-relaxf)*K20+relaxf*(K19*north!K20+H!L20*east!K20+H!K21*south!K20+H!J20*west!K20+qext!K20)/(north!K20+east!K20+south!K20+west!K20)</f>
        <v>8.2125336751181486</v>
      </c>
      <c r="L20">
        <f ca="1">(1-relaxf)*L20+relaxf*(L19*north!L20+H!M20*east!L20+H!L21*south!L20+H!K20*west!L20+qext!L20)/(north!L20+east!L20+south!L20+west!L20)</f>
        <v>8.484026047002363</v>
      </c>
      <c r="M20">
        <f ca="1">(1-relaxf)*M20+relaxf*(M19*north!M20+H!N20*east!M20+H!M21*south!M20+H!L20*west!M20+qext!M20)/(north!M20+east!M20+south!M20+west!M20)</f>
        <v>8.6616211679969144</v>
      </c>
    </row>
    <row r="24" spans="1:15" x14ac:dyDescent="0.2">
      <c r="B24" t="s">
        <v>6</v>
      </c>
      <c r="C24">
        <v>5</v>
      </c>
      <c r="D24">
        <f t="shared" ref="D24:M24" si="1">width</f>
        <v>5</v>
      </c>
      <c r="E24">
        <f t="shared" si="1"/>
        <v>5</v>
      </c>
      <c r="F24">
        <f t="shared" si="1"/>
        <v>5</v>
      </c>
      <c r="G24">
        <f t="shared" si="1"/>
        <v>5</v>
      </c>
      <c r="H24">
        <f t="shared" si="1"/>
        <v>5</v>
      </c>
      <c r="I24">
        <f t="shared" si="1"/>
        <v>5</v>
      </c>
      <c r="J24">
        <f t="shared" si="1"/>
        <v>5</v>
      </c>
      <c r="K24">
        <f t="shared" si="1"/>
        <v>5</v>
      </c>
      <c r="L24">
        <f t="shared" si="1"/>
        <v>5</v>
      </c>
      <c r="M24">
        <f t="shared" si="1"/>
        <v>5</v>
      </c>
      <c r="N24" s="6" t="s">
        <v>45</v>
      </c>
    </row>
    <row r="25" spans="1:15" x14ac:dyDescent="0.2">
      <c r="B25" t="s">
        <v>5</v>
      </c>
      <c r="C25">
        <f>(kd!B8+kd!C8)/2</f>
        <v>50</v>
      </c>
      <c r="D25">
        <f>(kd!C8+kd!D8)/2</f>
        <v>100</v>
      </c>
      <c r="E25">
        <f>(kd!D8+kd!E8)/2</f>
        <v>100</v>
      </c>
      <c r="F25">
        <f>(kd!E8+kd!F8)/2</f>
        <v>100</v>
      </c>
      <c r="G25">
        <f>(kd!F8+kd!G8)/2</f>
        <v>100</v>
      </c>
      <c r="H25">
        <f>(kd!G8+kd!H8)/2</f>
        <v>100</v>
      </c>
      <c r="I25">
        <f>(kd!H8+kd!I8)/2</f>
        <v>100</v>
      </c>
      <c r="J25">
        <f>(kd!I8+kd!J8)/2</f>
        <v>100</v>
      </c>
      <c r="K25">
        <f>(kd!J8+kd!K8)/2</f>
        <v>100</v>
      </c>
      <c r="L25">
        <f>(kd!K8+kd!L8)/2</f>
        <v>100</v>
      </c>
      <c r="M25">
        <f>(kd!L8+kd!M8)/2</f>
        <v>50</v>
      </c>
      <c r="N25" s="6" t="s">
        <v>45</v>
      </c>
    </row>
    <row r="26" spans="1:15" x14ac:dyDescent="0.2">
      <c r="B26" t="s">
        <v>35</v>
      </c>
      <c r="C26">
        <f>5</f>
        <v>5</v>
      </c>
      <c r="D26">
        <f>5</f>
        <v>5</v>
      </c>
      <c r="E26">
        <f>5</f>
        <v>5</v>
      </c>
      <c r="F26">
        <f>5</f>
        <v>5</v>
      </c>
      <c r="G26">
        <f>5</f>
        <v>5</v>
      </c>
      <c r="H26">
        <f>5</f>
        <v>5</v>
      </c>
      <c r="I26">
        <f>5</f>
        <v>5</v>
      </c>
      <c r="J26">
        <f>5</f>
        <v>5</v>
      </c>
      <c r="K26">
        <f>5</f>
        <v>5</v>
      </c>
      <c r="L26">
        <f>5</f>
        <v>5</v>
      </c>
      <c r="M26">
        <f>5</f>
        <v>5</v>
      </c>
      <c r="N26" s="6" t="s">
        <v>47</v>
      </c>
    </row>
    <row r="27" spans="1:15" x14ac:dyDescent="0.2">
      <c r="B27" t="s">
        <v>36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 s="6" t="s">
        <v>45</v>
      </c>
    </row>
    <row r="29" spans="1:15" x14ac:dyDescent="0.2">
      <c r="B29" t="s">
        <v>37</v>
      </c>
      <c r="C29">
        <v>3.0000000000000001E-3</v>
      </c>
      <c r="D29">
        <f t="shared" ref="D29:M29" si="2">So</f>
        <v>3.0000000000000001E-3</v>
      </c>
      <c r="E29">
        <f t="shared" si="2"/>
        <v>3.0000000000000001E-3</v>
      </c>
      <c r="F29">
        <f t="shared" si="2"/>
        <v>3.0000000000000001E-3</v>
      </c>
      <c r="G29">
        <f t="shared" si="2"/>
        <v>3.0000000000000001E-3</v>
      </c>
      <c r="H29">
        <f t="shared" si="2"/>
        <v>3.0000000000000001E-3</v>
      </c>
      <c r="I29">
        <f t="shared" si="2"/>
        <v>3.0000000000000001E-3</v>
      </c>
      <c r="J29">
        <f t="shared" si="2"/>
        <v>3.0000000000000001E-3</v>
      </c>
      <c r="K29">
        <f t="shared" si="2"/>
        <v>3.0000000000000001E-3</v>
      </c>
      <c r="L29">
        <f t="shared" si="2"/>
        <v>3.0000000000000001E-3</v>
      </c>
      <c r="M29">
        <f t="shared" si="2"/>
        <v>3.0000000000000001E-3</v>
      </c>
      <c r="N29" s="6" t="s">
        <v>46</v>
      </c>
    </row>
    <row r="30" spans="1:15" x14ac:dyDescent="0.2">
      <c r="B30" t="s">
        <v>38</v>
      </c>
      <c r="C30">
        <v>5</v>
      </c>
      <c r="D30">
        <f>C30+D29*(D8-C8)</f>
        <v>5.3</v>
      </c>
      <c r="E30">
        <f t="shared" ref="E30:M30" si="3">D30+E29*(E8-D8)</f>
        <v>5.6</v>
      </c>
      <c r="F30">
        <f t="shared" si="3"/>
        <v>5.8999999999999995</v>
      </c>
      <c r="G30">
        <f t="shared" si="3"/>
        <v>6.1999999999999993</v>
      </c>
      <c r="H30">
        <f t="shared" si="3"/>
        <v>6.4999999999999991</v>
      </c>
      <c r="I30">
        <f t="shared" si="3"/>
        <v>6.7999999999999989</v>
      </c>
      <c r="J30">
        <f t="shared" si="3"/>
        <v>7.0999999999999988</v>
      </c>
      <c r="K30">
        <f t="shared" si="3"/>
        <v>7.3999999999999986</v>
      </c>
      <c r="L30">
        <f t="shared" si="3"/>
        <v>7.6999999999999984</v>
      </c>
      <c r="M30">
        <f t="shared" si="3"/>
        <v>7.9999999999999982</v>
      </c>
      <c r="N30" s="6" t="s">
        <v>45</v>
      </c>
    </row>
    <row r="31" spans="1:15" x14ac:dyDescent="0.2">
      <c r="O31" t="s">
        <v>49</v>
      </c>
    </row>
    <row r="32" spans="1:15" x14ac:dyDescent="0.2">
      <c r="B32" t="s">
        <v>50</v>
      </c>
      <c r="C32">
        <v>4.0000000000000001E-3</v>
      </c>
    </row>
    <row r="33" spans="2:17" x14ac:dyDescent="0.2">
      <c r="B33" t="s">
        <v>40</v>
      </c>
      <c r="D33">
        <f t="shared" ref="D33:L33" ca="1" si="4">-(D39-D15)/resist*width*D25</f>
        <v>34.002454387914938</v>
      </c>
      <c r="E33">
        <f t="shared" ca="1" si="4"/>
        <v>30.878223585142361</v>
      </c>
      <c r="F33">
        <f t="shared" ca="1" si="4"/>
        <v>30.200506860759546</v>
      </c>
      <c r="G33">
        <f t="shared" ca="1" si="4"/>
        <v>30.044463765563378</v>
      </c>
      <c r="H33">
        <f t="shared" ca="1" si="4"/>
        <v>30.003462391522362</v>
      </c>
      <c r="I33">
        <f t="shared" ca="1" si="4"/>
        <v>29.97146427278814</v>
      </c>
      <c r="J33">
        <f t="shared" ca="1" si="4"/>
        <v>29.865734672388911</v>
      </c>
      <c r="K33">
        <f t="shared" ca="1" si="4"/>
        <v>29.412760748845201</v>
      </c>
      <c r="L33">
        <f t="shared" ca="1" si="4"/>
        <v>27.437793676184263</v>
      </c>
      <c r="M33">
        <f ca="1">-(M39-M15)/resist*width*M25</f>
        <v>9.3276861954026735</v>
      </c>
      <c r="N33" s="2" t="s">
        <v>44</v>
      </c>
    </row>
    <row r="34" spans="2:17" ht="13.5" thickBot="1" x14ac:dyDescent="0.25">
      <c r="B34" s="2" t="s">
        <v>52</v>
      </c>
      <c r="D34">
        <f>qext!$C$3*width*D25</f>
        <v>1.5</v>
      </c>
      <c r="E34">
        <f>qext!$C$3*width*E25</f>
        <v>1.5</v>
      </c>
      <c r="F34">
        <f>qext!$C$3*width*F25</f>
        <v>1.5</v>
      </c>
      <c r="G34">
        <f>qext!$C$3*width*G25</f>
        <v>1.5</v>
      </c>
      <c r="H34">
        <f>qext!$C$3*width*H25</f>
        <v>1.5</v>
      </c>
      <c r="I34">
        <f>qext!$C$3*width*I25</f>
        <v>1.5</v>
      </c>
      <c r="J34">
        <f>qext!$C$3*width*J25</f>
        <v>1.5</v>
      </c>
      <c r="K34">
        <f>qext!$C$3*width*K25</f>
        <v>1.5</v>
      </c>
      <c r="L34">
        <f>qext!$C$3*width*L25</f>
        <v>1.5</v>
      </c>
      <c r="M34">
        <f>qext!$C$3*width*M25</f>
        <v>0.75</v>
      </c>
      <c r="N34" s="2"/>
    </row>
    <row r="35" spans="2:17" ht="13.5" thickBot="1" x14ac:dyDescent="0.25">
      <c r="B35" t="s">
        <v>42</v>
      </c>
      <c r="C35">
        <f ca="1">D35+C33</f>
        <v>69415.395080395072</v>
      </c>
      <c r="D35">
        <f ca="1">E35+D33+D34</f>
        <v>69415.395041186741</v>
      </c>
      <c r="E35">
        <f t="shared" ref="E35:M35" ca="1" si="5">F35+E33+E34</f>
        <v>69379.892475979941</v>
      </c>
      <c r="F35">
        <f t="shared" ca="1" si="5"/>
        <v>69347.514111992408</v>
      </c>
      <c r="G35">
        <f t="shared" ca="1" si="5"/>
        <v>69315.813520387528</v>
      </c>
      <c r="H35">
        <f t="shared" ca="1" si="5"/>
        <v>69284.268983930844</v>
      </c>
      <c r="I35">
        <f t="shared" ca="1" si="5"/>
        <v>69252.765511594815</v>
      </c>
      <c r="J35">
        <f t="shared" ca="1" si="5"/>
        <v>69221.294003577335</v>
      </c>
      <c r="K35">
        <f t="shared" ca="1" si="5"/>
        <v>69189.928234789157</v>
      </c>
      <c r="L35">
        <f t="shared" ca="1" si="5"/>
        <v>69159.015479220587</v>
      </c>
      <c r="M35">
        <f t="shared" ca="1" si="5"/>
        <v>69130.077686195407</v>
      </c>
      <c r="N35" s="3">
        <f>34560*2</f>
        <v>69120</v>
      </c>
      <c r="O35" t="s">
        <v>43</v>
      </c>
      <c r="Q35" s="2" t="s">
        <v>44</v>
      </c>
    </row>
    <row r="36" spans="2:17" x14ac:dyDescent="0.2">
      <c r="N36" s="6"/>
      <c r="Q36" s="2"/>
    </row>
    <row r="37" spans="2:17" x14ac:dyDescent="0.2">
      <c r="B37" s="2" t="s">
        <v>48</v>
      </c>
      <c r="C37">
        <f ca="1">C37+1</f>
        <v>161</v>
      </c>
    </row>
    <row r="38" spans="2:17" x14ac:dyDescent="0.2">
      <c r="B38" t="s">
        <v>41</v>
      </c>
      <c r="C38">
        <f ca="1">D38</f>
        <v>0.39677698568053665</v>
      </c>
      <c r="D38">
        <f t="shared" ref="D38:M38" ca="1" si="6">IF($C$37&gt;25,((D35/86400)*man/(width*D29))^0.6,D27)</f>
        <v>0.39677698554606822</v>
      </c>
      <c r="E38">
        <f t="shared" ca="1" si="6"/>
        <v>0.39665521392415243</v>
      </c>
      <c r="F38">
        <f t="shared" ca="1" si="6"/>
        <v>0.39654413638781327</v>
      </c>
      <c r="G38">
        <f t="shared" ca="1" si="6"/>
        <v>0.39643536392432227</v>
      </c>
      <c r="H38">
        <f t="shared" ca="1" si="6"/>
        <v>0.39632710717081049</v>
      </c>
      <c r="I38">
        <f t="shared" ca="1" si="6"/>
        <v>0.39621897166537257</v>
      </c>
      <c r="J38">
        <f t="shared" ca="1" si="6"/>
        <v>0.3961109262288649</v>
      </c>
      <c r="K38">
        <f t="shared" ca="1" si="6"/>
        <v>0.39600322425570839</v>
      </c>
      <c r="L38">
        <f t="shared" ca="1" si="6"/>
        <v>0.39589705870293135</v>
      </c>
      <c r="M38">
        <f t="shared" ca="1" si="6"/>
        <v>0.39579765868130828</v>
      </c>
    </row>
    <row r="39" spans="2:17" x14ac:dyDescent="0.2">
      <c r="B39" t="s">
        <v>39</v>
      </c>
      <c r="C39">
        <f ca="1">C30+C38</f>
        <v>5.3967769856805363</v>
      </c>
      <c r="D39">
        <f t="shared" ref="D39:M39" ca="1" si="7">D30+D38</f>
        <v>5.6967769855460677</v>
      </c>
      <c r="E39">
        <f t="shared" ca="1" si="7"/>
        <v>5.9966552139241518</v>
      </c>
      <c r="F39">
        <f t="shared" ca="1" si="7"/>
        <v>6.296544136387813</v>
      </c>
      <c r="G39">
        <f t="shared" ca="1" si="7"/>
        <v>6.5964353639243214</v>
      </c>
      <c r="H39">
        <f t="shared" ca="1" si="7"/>
        <v>6.8963271071708094</v>
      </c>
      <c r="I39">
        <f t="shared" ca="1" si="7"/>
        <v>7.1962189716653713</v>
      </c>
      <c r="J39">
        <f t="shared" ca="1" si="7"/>
        <v>7.4961109262288641</v>
      </c>
      <c r="K39">
        <f t="shared" ca="1" si="7"/>
        <v>7.7960032242557071</v>
      </c>
      <c r="L39">
        <f t="shared" ca="1" si="7"/>
        <v>8.0958970587029295</v>
      </c>
      <c r="M39">
        <f t="shared" ca="1" si="7"/>
        <v>8.3957976586813068</v>
      </c>
      <c r="N39" s="6" t="s">
        <v>45</v>
      </c>
    </row>
    <row r="42" spans="2:17" x14ac:dyDescent="0.2">
      <c r="B42" t="s">
        <v>42</v>
      </c>
      <c r="C42">
        <f ca="1">C35/86400</f>
        <v>0.80341892454160968</v>
      </c>
      <c r="D42">
        <f t="shared" ref="D42:M42" ca="1" si="8">D35/86400</f>
        <v>0.80341892408780946</v>
      </c>
      <c r="E42">
        <f t="shared" ca="1" si="8"/>
        <v>0.80300801476828632</v>
      </c>
      <c r="F42">
        <f t="shared" ca="1" si="8"/>
        <v>0.80263326518509737</v>
      </c>
      <c r="G42">
        <f t="shared" ca="1" si="8"/>
        <v>0.80226636018967046</v>
      </c>
      <c r="H42">
        <f t="shared" ca="1" si="8"/>
        <v>0.80190126138808848</v>
      </c>
      <c r="I42">
        <f t="shared" ca="1" si="8"/>
        <v>0.80153663786568075</v>
      </c>
      <c r="J42">
        <f t="shared" ca="1" si="8"/>
        <v>0.80117238430066362</v>
      </c>
      <c r="K42">
        <f t="shared" ca="1" si="8"/>
        <v>0.8008093545693189</v>
      </c>
      <c r="L42">
        <f t="shared" ca="1" si="8"/>
        <v>0.80045156804653461</v>
      </c>
      <c r="M42">
        <f t="shared" ca="1" si="8"/>
        <v>0.80011663988652093</v>
      </c>
      <c r="N42" s="6" t="s">
        <v>51</v>
      </c>
    </row>
  </sheetData>
  <phoneticPr fontId="0" type="noConversion"/>
  <conditionalFormatting sqref="C10:C30 C32 C24:M27 C29:M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W30 C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/>
  <pageMargins left="0.75" right="0.75" top="1" bottom="1" header="0.5" footer="0.5"/>
  <pageSetup paperSize="9" scale="91" orientation="landscape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workbookViewId="0">
      <selection activeCell="C8" sqref="C8:L8"/>
    </sheetView>
  </sheetViews>
  <sheetFormatPr defaultRowHeight="12.75" x14ac:dyDescent="0.2"/>
  <sheetData>
    <row r="1" spans="1:12" x14ac:dyDescent="0.2">
      <c r="A1" s="2" t="s">
        <v>2</v>
      </c>
    </row>
    <row r="7" spans="1:12" x14ac:dyDescent="0.2">
      <c r="C7" t="s">
        <v>5</v>
      </c>
    </row>
    <row r="8" spans="1:12" x14ac:dyDescent="0.2">
      <c r="A8" t="s">
        <v>6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</row>
    <row r="10" spans="1:12" x14ac:dyDescent="0.2">
      <c r="A10">
        <v>10</v>
      </c>
      <c r="C10">
        <v>30</v>
      </c>
      <c r="D10">
        <v>30</v>
      </c>
      <c r="E10">
        <v>30</v>
      </c>
      <c r="F10">
        <v>30</v>
      </c>
      <c r="G10">
        <v>30</v>
      </c>
      <c r="H10">
        <v>30</v>
      </c>
      <c r="I10">
        <v>30</v>
      </c>
      <c r="J10">
        <v>30</v>
      </c>
      <c r="K10">
        <v>30</v>
      </c>
      <c r="L10">
        <v>30</v>
      </c>
    </row>
    <row r="11" spans="1:12" x14ac:dyDescent="0.2">
      <c r="A11">
        <v>10</v>
      </c>
      <c r="C11">
        <v>30</v>
      </c>
      <c r="D11">
        <v>30</v>
      </c>
      <c r="E11">
        <v>30</v>
      </c>
      <c r="F11">
        <v>30</v>
      </c>
      <c r="G11">
        <v>30</v>
      </c>
      <c r="H11">
        <v>30</v>
      </c>
      <c r="I11">
        <v>30</v>
      </c>
      <c r="J11">
        <v>30</v>
      </c>
      <c r="K11">
        <v>30</v>
      </c>
      <c r="L11">
        <v>30</v>
      </c>
    </row>
    <row r="12" spans="1:12" x14ac:dyDescent="0.2">
      <c r="A12">
        <v>10</v>
      </c>
      <c r="C12">
        <v>30</v>
      </c>
      <c r="D12">
        <v>30</v>
      </c>
      <c r="E12">
        <v>30</v>
      </c>
      <c r="F12">
        <v>30</v>
      </c>
      <c r="G12">
        <v>30</v>
      </c>
      <c r="H12">
        <v>30</v>
      </c>
      <c r="I12">
        <v>30</v>
      </c>
      <c r="J12">
        <v>30</v>
      </c>
      <c r="K12">
        <v>30</v>
      </c>
      <c r="L12">
        <v>30</v>
      </c>
    </row>
    <row r="13" spans="1:12" x14ac:dyDescent="0.2">
      <c r="A13">
        <v>10</v>
      </c>
      <c r="C13">
        <v>30</v>
      </c>
      <c r="D13">
        <v>30</v>
      </c>
      <c r="E13">
        <v>30</v>
      </c>
      <c r="F13">
        <v>30</v>
      </c>
      <c r="G13">
        <v>30</v>
      </c>
      <c r="H13">
        <v>30</v>
      </c>
      <c r="I13">
        <v>30</v>
      </c>
      <c r="J13">
        <v>30</v>
      </c>
      <c r="K13">
        <v>30</v>
      </c>
      <c r="L13">
        <v>30</v>
      </c>
    </row>
    <row r="14" spans="1:12" x14ac:dyDescent="0.2">
      <c r="A14">
        <v>10</v>
      </c>
      <c r="C14">
        <v>30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</row>
    <row r="15" spans="1:12" x14ac:dyDescent="0.2">
      <c r="A15">
        <v>10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</row>
    <row r="16" spans="1:12" x14ac:dyDescent="0.2">
      <c r="A16">
        <v>10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</row>
    <row r="17" spans="1:12" x14ac:dyDescent="0.2">
      <c r="A17">
        <v>10</v>
      </c>
      <c r="C17">
        <v>30</v>
      </c>
      <c r="D17">
        <v>30</v>
      </c>
      <c r="E17">
        <v>30</v>
      </c>
      <c r="F17">
        <v>30</v>
      </c>
      <c r="G17">
        <v>30</v>
      </c>
      <c r="H17">
        <v>30</v>
      </c>
      <c r="I17">
        <v>30</v>
      </c>
      <c r="J17">
        <v>30</v>
      </c>
      <c r="K17">
        <v>30</v>
      </c>
      <c r="L17">
        <v>30</v>
      </c>
    </row>
    <row r="18" spans="1:12" x14ac:dyDescent="0.2">
      <c r="A18">
        <v>10</v>
      </c>
      <c r="C18">
        <v>30</v>
      </c>
      <c r="D18">
        <v>30</v>
      </c>
      <c r="E18">
        <v>30</v>
      </c>
      <c r="F18">
        <v>30</v>
      </c>
      <c r="G18">
        <v>30</v>
      </c>
      <c r="H18">
        <v>30</v>
      </c>
      <c r="I18">
        <v>30</v>
      </c>
      <c r="J18">
        <v>30</v>
      </c>
      <c r="K18">
        <v>30</v>
      </c>
      <c r="L18">
        <v>30</v>
      </c>
    </row>
    <row r="19" spans="1:12" x14ac:dyDescent="0.2">
      <c r="A19">
        <v>10</v>
      </c>
      <c r="C19">
        <v>30</v>
      </c>
      <c r="D19">
        <v>30</v>
      </c>
      <c r="E19">
        <v>30</v>
      </c>
      <c r="F19">
        <v>30</v>
      </c>
      <c r="G19">
        <v>30</v>
      </c>
      <c r="H19">
        <v>30</v>
      </c>
      <c r="I19">
        <v>30</v>
      </c>
      <c r="J19">
        <v>30</v>
      </c>
      <c r="K19">
        <v>30</v>
      </c>
      <c r="L19">
        <v>30</v>
      </c>
    </row>
  </sheetData>
  <phoneticPr fontId="0" type="noConversion"/>
  <conditionalFormatting sqref="C10:V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workbookViewId="0">
      <selection activeCell="D16" sqref="D16:M16"/>
    </sheetView>
  </sheetViews>
  <sheetFormatPr defaultRowHeight="12.75" x14ac:dyDescent="0.2"/>
  <cols>
    <col min="2" max="2" width="12.5703125" bestFit="1" customWidth="1"/>
  </cols>
  <sheetData>
    <row r="1" spans="1:13" x14ac:dyDescent="0.2">
      <c r="A1" t="s">
        <v>26</v>
      </c>
    </row>
    <row r="3" spans="1:13" x14ac:dyDescent="0.2">
      <c r="B3" t="s">
        <v>18</v>
      </c>
      <c r="C3">
        <v>3.0000000000000001E-3</v>
      </c>
    </row>
    <row r="4" spans="1:13" x14ac:dyDescent="0.2">
      <c r="B4" t="s">
        <v>19</v>
      </c>
      <c r="C4">
        <f>SUM(C10:M20)-well</f>
        <v>285</v>
      </c>
    </row>
    <row r="6" spans="1:13" x14ac:dyDescent="0.2">
      <c r="B6" t="s">
        <v>16</v>
      </c>
      <c r="C6">
        <v>0</v>
      </c>
    </row>
    <row r="10" spans="1:13" x14ac:dyDescent="0.2">
      <c r="C10">
        <v>0</v>
      </c>
      <c r="D10">
        <f>0.25*((kd!C$8+kd!D$8)*(kd!$A9+kd!$A10))*$C$3</f>
        <v>1.5</v>
      </c>
      <c r="E10">
        <f>0.25*((kd!D$8+kd!E$8)*(kd!$A9+kd!$A10))*$C$3</f>
        <v>1.5</v>
      </c>
      <c r="F10">
        <f>0.25*((kd!E$8+kd!F$8)*(kd!$A9+kd!$A10))*$C$3</f>
        <v>1.5</v>
      </c>
      <c r="G10">
        <f>0.25*((kd!F$8+kd!G$8)*(kd!$A9+kd!$A10))*$C$3</f>
        <v>1.5</v>
      </c>
      <c r="H10">
        <f>0.25*((kd!G$8+kd!H$8)*(kd!$A9+kd!$A10))*$C$3</f>
        <v>1.5</v>
      </c>
      <c r="I10">
        <f>0.25*((kd!H$8+kd!I$8)*(kd!$A9+kd!$A10))*$C$3</f>
        <v>1.5</v>
      </c>
      <c r="J10">
        <f>0.25*((kd!I$8+kd!J$8)*(kd!$A9+kd!$A10))*$C$3</f>
        <v>1.5</v>
      </c>
      <c r="K10">
        <f>0.25*((kd!J$8+kd!K$8)*(kd!$A9+kd!$A10))*$C$3</f>
        <v>1.5</v>
      </c>
      <c r="L10">
        <f>0.25*((kd!K$8+kd!L$8)*(kd!$A9+kd!$A10))*$C$3</f>
        <v>1.5</v>
      </c>
      <c r="M10">
        <f>0.25*((kd!L$8+kd!M$8)*(kd!$A9+kd!$A10))*$C$3</f>
        <v>0.75</v>
      </c>
    </row>
    <row r="11" spans="1:13" x14ac:dyDescent="0.2">
      <c r="C11">
        <v>0</v>
      </c>
      <c r="D11">
        <f>0.25*((kd!C$8+kd!D$8)*(kd!$A10+kd!$A11))*$C$3</f>
        <v>3</v>
      </c>
      <c r="E11">
        <f>0.25*((kd!D$8+kd!E$8)*(kd!$A10+kd!$A11))*$C$3</f>
        <v>3</v>
      </c>
      <c r="F11">
        <f>0.25*((kd!E$8+kd!F$8)*(kd!$A10+kd!$A11))*$C$3</f>
        <v>3</v>
      </c>
      <c r="G11">
        <f>0.25*((kd!F$8+kd!G$8)*(kd!$A10+kd!$A11))*$C$3</f>
        <v>3</v>
      </c>
      <c r="H11">
        <f>0.25*((kd!G$8+kd!H$8)*(kd!$A10+kd!$A11))*$C$3</f>
        <v>3</v>
      </c>
      <c r="I11">
        <f>0.25*((kd!H$8+kd!I$8)*(kd!$A10+kd!$A11))*$C$3</f>
        <v>3</v>
      </c>
      <c r="J11">
        <f>0.25*((kd!I$8+kd!J$8)*(kd!$A10+kd!$A11))*$C$3</f>
        <v>3</v>
      </c>
      <c r="K11">
        <f>0.25*((kd!J$8+kd!K$8)*(kd!$A10+kd!$A11))*$C$3</f>
        <v>3</v>
      </c>
      <c r="L11">
        <f>0.25*((kd!K$8+kd!L$8)*(kd!$A10+kd!$A11))*$C$3</f>
        <v>3</v>
      </c>
      <c r="M11">
        <f>0.25*((kd!L$8+kd!M$8)*(kd!$A10+kd!$A11))*$C$3</f>
        <v>1.5</v>
      </c>
    </row>
    <row r="12" spans="1:13" x14ac:dyDescent="0.2">
      <c r="C12">
        <v>0</v>
      </c>
      <c r="D12">
        <f>0.25*((kd!C$8+kd!D$8)*(kd!$A11+kd!$A12))*$C$3</f>
        <v>3</v>
      </c>
      <c r="E12">
        <f>0.25*((kd!D$8+kd!E$8)*(kd!$A11+kd!$A12))*$C$3</f>
        <v>3</v>
      </c>
      <c r="F12">
        <f>0.25*((kd!E$8+kd!F$8)*(kd!$A11+kd!$A12))*$C$3</f>
        <v>3</v>
      </c>
      <c r="G12">
        <f>0.25*((kd!F$8+kd!G$8)*(kd!$A11+kd!$A12))*$C$3</f>
        <v>3</v>
      </c>
      <c r="H12">
        <f>0.25*((kd!G$8+kd!H$8)*(kd!$A11+kd!$A12))*$C$3</f>
        <v>3</v>
      </c>
      <c r="I12">
        <f>0.25*((kd!H$8+kd!I$8)*(kd!$A11+kd!$A12))*$C$3</f>
        <v>3</v>
      </c>
      <c r="J12">
        <f>0.25*((kd!I$8+kd!J$8)*(kd!$A11+kd!$A12))*$C$3</f>
        <v>3</v>
      </c>
      <c r="K12">
        <f>0.25*((kd!J$8+kd!K$8)*(kd!$A11+kd!$A12))*$C$3</f>
        <v>3</v>
      </c>
      <c r="L12">
        <f>0.25*((kd!K$8+kd!L$8)*(kd!$A11+kd!$A12))*$C$3</f>
        <v>3</v>
      </c>
      <c r="M12">
        <f>0.25*((kd!L$8+kd!M$8)*(kd!$A11+kd!$A12))*$C$3</f>
        <v>1.5</v>
      </c>
    </row>
    <row r="13" spans="1:13" x14ac:dyDescent="0.2">
      <c r="C13">
        <v>0</v>
      </c>
      <c r="D13">
        <f>0.25*((kd!C$8+kd!D$8)*(kd!$A12+kd!$A13))*$C$3</f>
        <v>3</v>
      </c>
      <c r="E13">
        <f>0.25*((kd!D$8+kd!E$8)*(kd!$A12+kd!$A13))*$C$3</f>
        <v>3</v>
      </c>
      <c r="F13">
        <f>0.25*((kd!E$8+kd!F$8)*(kd!$A12+kd!$A13))*$C$3</f>
        <v>3</v>
      </c>
      <c r="G13">
        <f>0.25*((kd!F$8+kd!G$8)*(kd!$A12+kd!$A13))*$C$3</f>
        <v>3</v>
      </c>
      <c r="H13">
        <f>0.25*((kd!G$8+kd!H$8)*(kd!$A12+kd!$A13))*$C$3</f>
        <v>3</v>
      </c>
      <c r="I13">
        <f>0.25*((kd!H$8+kd!I$8)*(kd!$A12+kd!$A13))*$C$3</f>
        <v>3</v>
      </c>
      <c r="J13">
        <f>0.25*((kd!I$8+kd!J$8)*(kd!$A12+kd!$A13))*$C$3</f>
        <v>3</v>
      </c>
      <c r="K13">
        <f>0.25*((kd!J$8+kd!K$8)*(kd!$A12+kd!$A13))*$C$3</f>
        <v>3</v>
      </c>
      <c r="L13">
        <f>0.25*((kd!K$8+kd!L$8)*(kd!$A12+kd!$A13))*$C$3</f>
        <v>3</v>
      </c>
      <c r="M13">
        <f>0.25*((kd!L$8+kd!M$8)*(kd!$A12+kd!$A13))*$C$3</f>
        <v>1.5</v>
      </c>
    </row>
    <row r="14" spans="1:13" x14ac:dyDescent="0.2">
      <c r="C14">
        <v>0</v>
      </c>
      <c r="D14">
        <f>0.25*((kd!C$8+kd!D$8)*(kd!$A13+kd!$A14))*$C$3</f>
        <v>3</v>
      </c>
      <c r="E14">
        <f>0.25*((kd!D$8+kd!E$8)*(kd!$A13+kd!$A14))*$C$3</f>
        <v>3</v>
      </c>
      <c r="F14">
        <f>0.25*((kd!E$8+kd!F$8)*(kd!$A13+kd!$A14))*$C$3</f>
        <v>3</v>
      </c>
      <c r="G14">
        <f>0.25*((kd!F$8+kd!G$8)*(kd!$A13+kd!$A14))*$C$3</f>
        <v>3</v>
      </c>
      <c r="H14">
        <f>0.25*((kd!G$8+kd!H$8)*(kd!$A13+kd!$A14))*$C$3</f>
        <v>3</v>
      </c>
      <c r="I14">
        <f>0.25*((kd!H$8+kd!I$8)*(kd!$A13+kd!$A14))*$C$3</f>
        <v>3</v>
      </c>
      <c r="J14">
        <f>0.25*((kd!I$8+kd!J$8)*(kd!$A13+kd!$A14))*$C$3</f>
        <v>3</v>
      </c>
      <c r="K14">
        <f>0.25*((kd!J$8+kd!K$8)*(kd!$A13+kd!$A14))*$C$3</f>
        <v>3</v>
      </c>
      <c r="L14">
        <f>0.25*((kd!K$8+kd!L$8)*(kd!$A13+kd!$A14))*$C$3</f>
        <v>3</v>
      </c>
      <c r="M14">
        <f>0.25*((kd!L$8+kd!M$8)*(kd!$A13+kd!$A14))*$C$3</f>
        <v>1.5</v>
      </c>
    </row>
    <row r="15" spans="1:13" x14ac:dyDescent="0.2">
      <c r="C15">
        <v>0</v>
      </c>
      <c r="D15">
        <f>0.25*((kd!C$8+kd!D$8)*(kd!$A14+kd!$A15))*$C$3</f>
        <v>3</v>
      </c>
      <c r="E15">
        <f>0.25*((kd!D$8+kd!E$8)*(kd!$A14+kd!$A15))*$C$3</f>
        <v>3</v>
      </c>
      <c r="F15">
        <f>0.25*((kd!E$8+kd!F$8)*(kd!$A14+kd!$A15))*$C$3</f>
        <v>3</v>
      </c>
      <c r="G15">
        <f>0.25*((kd!F$8+kd!G$8)*(kd!$A14+kd!$A15))*$C$3</f>
        <v>3</v>
      </c>
      <c r="H15">
        <f>0.25*((kd!G$8+kd!H$8)*(kd!$A14+kd!$A15))*$C$3</f>
        <v>3</v>
      </c>
      <c r="I15">
        <f>0.25*((kd!H$8+kd!I$8)*(kd!$A14+kd!$A15))*$C$3</f>
        <v>3</v>
      </c>
      <c r="J15">
        <f>0.25*((kd!I$8+kd!J$8)*(kd!$A14+kd!$A15))*$C$3</f>
        <v>3</v>
      </c>
      <c r="K15">
        <f>0.25*((kd!J$8+kd!K$8)*(kd!$A14+kd!$A15))*$C$3</f>
        <v>3</v>
      </c>
      <c r="L15">
        <f>0.25*((kd!K$8+kd!L$8)*(kd!$A14+kd!$A15))*$C$3</f>
        <v>3</v>
      </c>
      <c r="M15">
        <f>0.25*((kd!L$8+kd!M$8)*(kd!$A14+kd!$A15))*$C$3</f>
        <v>1.5</v>
      </c>
    </row>
    <row r="16" spans="1:13" x14ac:dyDescent="0.2">
      <c r="C16">
        <v>0</v>
      </c>
      <c r="D16">
        <f>0.25*((kd!C$8+kd!D$8)*(kd!$A15+kd!$A16))*$C$3</f>
        <v>3</v>
      </c>
      <c r="E16">
        <f>0.25*((kd!D$8+kd!E$8)*(kd!$A15+kd!$A16))*$C$3</f>
        <v>3</v>
      </c>
      <c r="F16">
        <f>0.25*((kd!E$8+kd!F$8)*(kd!$A15+kd!$A16))*$C$3</f>
        <v>3</v>
      </c>
      <c r="G16">
        <f>0.25*((kd!F$8+kd!G$8)*(kd!$A15+kd!$A16))*$C$3</f>
        <v>3</v>
      </c>
      <c r="H16">
        <f>0.25*((kd!G$8+kd!H$8)*(kd!$A15+kd!$A16))*$C$3</f>
        <v>3</v>
      </c>
      <c r="I16">
        <f>0.25*((kd!H$8+kd!I$8)*(kd!$A15+kd!$A16))*$C$3</f>
        <v>3</v>
      </c>
      <c r="J16">
        <f>0.25*((kd!I$8+kd!J$8)*(kd!$A15+kd!$A16))*$C$3</f>
        <v>3</v>
      </c>
      <c r="K16">
        <f>0.25*((kd!J$8+kd!K$8)*(kd!$A15+kd!$A16))*$C$3</f>
        <v>3</v>
      </c>
      <c r="L16">
        <f>0.25*((kd!K$8+kd!L$8)*(kd!$A15+kd!$A16))*$C$3</f>
        <v>3</v>
      </c>
      <c r="M16">
        <f>0.25*((kd!L$8+kd!M$8)*(kd!$A15+kd!$A16))*$C$3</f>
        <v>1.5</v>
      </c>
    </row>
    <row r="17" spans="3:13" x14ac:dyDescent="0.2">
      <c r="C17">
        <v>0</v>
      </c>
      <c r="D17">
        <f>0.25*((kd!C$8+kd!D$8)*(kd!$A16+kd!$A17))*$C$3</f>
        <v>3</v>
      </c>
      <c r="E17">
        <f>0.25*((kd!D$8+kd!E$8)*(kd!$A16+kd!$A17))*$C$3</f>
        <v>3</v>
      </c>
      <c r="F17">
        <f>0.25*((kd!E$8+kd!F$8)*(kd!$A16+kd!$A17))*$C$3</f>
        <v>3</v>
      </c>
      <c r="G17">
        <f>0.25*((kd!F$8+kd!G$8)*(kd!$A16+kd!$A17))*$C$3</f>
        <v>3</v>
      </c>
      <c r="H17">
        <f>0.25*((kd!G$8+kd!H$8)*(kd!$A16+kd!$A17))*$C$3</f>
        <v>3</v>
      </c>
      <c r="I17">
        <f>0.25*((kd!H$8+kd!I$8)*(kd!$A16+kd!$A17))*$C$3</f>
        <v>3</v>
      </c>
      <c r="J17">
        <f>0.25*((kd!I$8+kd!J$8)*(kd!$A16+kd!$A17))*$C$3</f>
        <v>3</v>
      </c>
      <c r="K17">
        <f>0.25*((kd!J$8+kd!K$8)*(kd!$A16+kd!$A17))*$C$3</f>
        <v>3</v>
      </c>
      <c r="L17">
        <f>0.25*((kd!K$8+kd!L$8)*(kd!$A16+kd!$A17))*$C$3</f>
        <v>3</v>
      </c>
      <c r="M17">
        <f>0.25*((kd!L$8+kd!M$8)*(kd!$A16+kd!$A17))*$C$3</f>
        <v>1.5</v>
      </c>
    </row>
    <row r="18" spans="3:13" x14ac:dyDescent="0.2">
      <c r="C18">
        <v>0</v>
      </c>
      <c r="D18">
        <f>0.25*((kd!C$8+kd!D$8)*(kd!$A17+kd!$A18))*$C$3</f>
        <v>3</v>
      </c>
      <c r="E18">
        <f>0.25*((kd!D$8+kd!E$8)*(kd!$A17+kd!$A18))*$C$3</f>
        <v>3</v>
      </c>
      <c r="F18">
        <f>0.25*((kd!E$8+kd!F$8)*(kd!$A17+kd!$A18))*$C$3</f>
        <v>3</v>
      </c>
      <c r="G18">
        <f>0.25*((kd!F$8+kd!G$8)*(kd!$A17+kd!$A18))*$C$3</f>
        <v>3</v>
      </c>
      <c r="H18">
        <f>0.25*((kd!G$8+kd!H$8)*(kd!$A17+kd!$A18))*$C$3</f>
        <v>3</v>
      </c>
      <c r="I18">
        <f>0.25*((kd!H$8+kd!I$8)*(kd!$A17+kd!$A18))*$C$3</f>
        <v>3</v>
      </c>
      <c r="J18">
        <f>0.25*((kd!I$8+kd!J$8)*(kd!$A17+kd!$A18))*$C$3</f>
        <v>3</v>
      </c>
      <c r="K18">
        <f>0.25*((kd!J$8+kd!K$8)*(kd!$A17+kd!$A18))*$C$3</f>
        <v>3</v>
      </c>
      <c r="L18">
        <f>0.25*((kd!K$8+kd!L$8)*(kd!$A17+kd!$A18))*$C$3</f>
        <v>3</v>
      </c>
      <c r="M18">
        <f>0.25*((kd!L$8+kd!M$8)*(kd!$A17+kd!$A18))*$C$3</f>
        <v>1.5</v>
      </c>
    </row>
    <row r="19" spans="3:13" x14ac:dyDescent="0.2">
      <c r="C19">
        <v>0</v>
      </c>
      <c r="D19">
        <f>0.25*((kd!C$8+kd!D$8)*(kd!$A18+kd!$A19))*$C$3</f>
        <v>3</v>
      </c>
      <c r="E19">
        <f>0.25*((kd!D$8+kd!E$8)*(kd!$A18+kd!$A19))*$C$3</f>
        <v>3</v>
      </c>
      <c r="F19">
        <f>0.25*((kd!E$8+kd!F$8)*(kd!$A18+kd!$A19))*$C$3</f>
        <v>3</v>
      </c>
      <c r="G19">
        <f>0.25*((kd!F$8+kd!G$8)*(kd!$A18+kd!$A19))*$C$3</f>
        <v>3</v>
      </c>
      <c r="H19">
        <f>0.25*((kd!G$8+kd!H$8)*(kd!$A18+kd!$A19))*$C$3</f>
        <v>3</v>
      </c>
      <c r="I19">
        <f>0.25*((kd!H$8+kd!I$8)*(kd!$A18+kd!$A19))*$C$3</f>
        <v>3</v>
      </c>
      <c r="J19">
        <f>0.25*((kd!I$8+kd!J$8)*(kd!$A18+kd!$A19))*$C$3</f>
        <v>3</v>
      </c>
      <c r="K19">
        <f>0.25*((kd!J$8+kd!K$8)*(kd!$A18+kd!$A19))*$C$3</f>
        <v>3</v>
      </c>
      <c r="L19">
        <f>0.25*((kd!K$8+kd!L$8)*(kd!$A18+kd!$A19))*$C$3</f>
        <v>3</v>
      </c>
      <c r="M19">
        <f>0.25*((kd!L$8+kd!M$8)*(kd!$A18+kd!$A19))*$C$3</f>
        <v>1.5</v>
      </c>
    </row>
    <row r="20" spans="3:13" x14ac:dyDescent="0.2">
      <c r="C20">
        <v>0</v>
      </c>
      <c r="D20">
        <f>0.25*((kd!C$8+kd!D$8)*(kd!$A19+kd!$A20))*$C$3</f>
        <v>1.5</v>
      </c>
      <c r="E20">
        <f>0.25*((kd!D$8+kd!E$8)*(kd!$A19+kd!$A20))*$C$3</f>
        <v>1.5</v>
      </c>
      <c r="F20">
        <f>0.25*((kd!E$8+kd!F$8)*(kd!$A19+kd!$A20))*$C$3</f>
        <v>1.5</v>
      </c>
      <c r="G20">
        <f>0.25*((kd!F$8+kd!G$8)*(kd!$A19+kd!$A20))*$C$3</f>
        <v>1.5</v>
      </c>
      <c r="H20">
        <f>0.25*((kd!G$8+kd!H$8)*(kd!$A19+kd!$A20))*$C$3</f>
        <v>1.5</v>
      </c>
      <c r="I20">
        <f>0.25*((kd!H$8+kd!I$8)*(kd!$A19+kd!$A20))*$C$3</f>
        <v>1.5</v>
      </c>
      <c r="J20">
        <f>0.25*((kd!I$8+kd!J$8)*(kd!$A19+kd!$A20))*$C$3</f>
        <v>1.5</v>
      </c>
      <c r="K20">
        <f>0.25*((kd!J$8+kd!K$8)*(kd!$A19+kd!$A20))*$C$3</f>
        <v>1.5</v>
      </c>
      <c r="L20">
        <f>0.25*((kd!K$8+kd!L$8)*(kd!$A19+kd!$A20))*$C$3</f>
        <v>1.5</v>
      </c>
      <c r="M20">
        <f>0.25*((kd!L$8+kd!M$8)*(kd!$A19+kd!$A20))*$C$3</f>
        <v>0.75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workbookViewId="0">
      <selection activeCell="C8" sqref="C8"/>
    </sheetView>
  </sheetViews>
  <sheetFormatPr defaultRowHeight="12.75" x14ac:dyDescent="0.2"/>
  <sheetData>
    <row r="1" spans="1:12" x14ac:dyDescent="0.2">
      <c r="A1" s="2" t="s">
        <v>23</v>
      </c>
      <c r="D1" t="s">
        <v>25</v>
      </c>
    </row>
    <row r="7" spans="1:12" x14ac:dyDescent="0.2">
      <c r="C7" t="s">
        <v>34</v>
      </c>
    </row>
    <row r="10" spans="1:12" x14ac:dyDescent="0.2">
      <c r="C10">
        <f>(kd!$A10/kd!C$8)*kd!C10</f>
        <v>3</v>
      </c>
      <c r="D10">
        <f>(kd!$A10/kd!D$8)*kd!D10</f>
        <v>3</v>
      </c>
      <c r="E10">
        <f>(kd!$A10/kd!E$8)*kd!E10</f>
        <v>3</v>
      </c>
      <c r="F10">
        <f>(kd!$A10/kd!F$8)*kd!F10</f>
        <v>3</v>
      </c>
      <c r="G10">
        <f>(kd!$A10/kd!G$8)*kd!G10</f>
        <v>3</v>
      </c>
      <c r="H10">
        <f>(kd!$A10/kd!H$8)*kd!H10</f>
        <v>3</v>
      </c>
      <c r="I10">
        <f>(kd!$A10/kd!I$8)*kd!I10</f>
        <v>3</v>
      </c>
      <c r="J10">
        <f>(kd!$A10/kd!J$8)*kd!J10</f>
        <v>3</v>
      </c>
      <c r="K10">
        <f>(kd!$A10/kd!K$8)*kd!K10</f>
        <v>3</v>
      </c>
      <c r="L10">
        <f>(kd!$A10/kd!L$8)*kd!L10</f>
        <v>3</v>
      </c>
    </row>
    <row r="11" spans="1:12" x14ac:dyDescent="0.2">
      <c r="C11">
        <f>(kd!$A11/kd!C$8)*kd!C11</f>
        <v>3</v>
      </c>
      <c r="D11">
        <f>(kd!$A11/kd!D$8)*kd!D11</f>
        <v>3</v>
      </c>
      <c r="E11">
        <f>(kd!$A11/kd!E$8)*kd!E11</f>
        <v>3</v>
      </c>
      <c r="F11">
        <f>(kd!$A11/kd!F$8)*kd!F11</f>
        <v>3</v>
      </c>
      <c r="G11">
        <f>(kd!$A11/kd!G$8)*kd!G11</f>
        <v>3</v>
      </c>
      <c r="H11">
        <f>(kd!$A11/kd!H$8)*kd!H11</f>
        <v>3</v>
      </c>
      <c r="I11">
        <f>(kd!$A11/kd!I$8)*kd!I11</f>
        <v>3</v>
      </c>
      <c r="J11">
        <f>(kd!$A11/kd!J$8)*kd!J11</f>
        <v>3</v>
      </c>
      <c r="K11">
        <f>(kd!$A11/kd!K$8)*kd!K11</f>
        <v>3</v>
      </c>
      <c r="L11">
        <f>(kd!$A11/kd!L$8)*kd!L11</f>
        <v>3</v>
      </c>
    </row>
    <row r="12" spans="1:12" x14ac:dyDescent="0.2">
      <c r="C12">
        <f>(kd!$A12/kd!C$8)*kd!C12</f>
        <v>3</v>
      </c>
      <c r="D12">
        <f>(kd!$A12/kd!D$8)*kd!D12</f>
        <v>3</v>
      </c>
      <c r="E12">
        <f>(kd!$A12/kd!E$8)*kd!E12</f>
        <v>3</v>
      </c>
      <c r="F12">
        <f>(kd!$A12/kd!F$8)*kd!F12</f>
        <v>3</v>
      </c>
      <c r="G12">
        <f>(kd!$A12/kd!G$8)*kd!G12</f>
        <v>3</v>
      </c>
      <c r="H12">
        <f>(kd!$A12/kd!H$8)*kd!H12</f>
        <v>3</v>
      </c>
      <c r="I12">
        <f>(kd!$A12/kd!I$8)*kd!I12</f>
        <v>3</v>
      </c>
      <c r="J12">
        <f>(kd!$A12/kd!J$8)*kd!J12</f>
        <v>3</v>
      </c>
      <c r="K12">
        <f>(kd!$A12/kd!K$8)*kd!K12</f>
        <v>3</v>
      </c>
      <c r="L12">
        <f>(kd!$A12/kd!L$8)*kd!L12</f>
        <v>3</v>
      </c>
    </row>
    <row r="13" spans="1:12" x14ac:dyDescent="0.2">
      <c r="C13">
        <f>(kd!$A13/kd!C$8)*kd!C13</f>
        <v>3</v>
      </c>
      <c r="D13">
        <f>(kd!$A13/kd!D$8)*kd!D13</f>
        <v>3</v>
      </c>
      <c r="E13">
        <f>(kd!$A13/kd!E$8)*kd!E13</f>
        <v>3</v>
      </c>
      <c r="F13">
        <f>(kd!$A13/kd!F$8)*kd!F13</f>
        <v>3</v>
      </c>
      <c r="G13">
        <f>(kd!$A13/kd!G$8)*kd!G13</f>
        <v>3</v>
      </c>
      <c r="H13">
        <f>(kd!$A13/kd!H$8)*kd!H13</f>
        <v>3</v>
      </c>
      <c r="I13">
        <f>(kd!$A13/kd!I$8)*kd!I13</f>
        <v>3</v>
      </c>
      <c r="J13">
        <f>(kd!$A13/kd!J$8)*kd!J13</f>
        <v>3</v>
      </c>
      <c r="K13">
        <f>(kd!$A13/kd!K$8)*kd!K13</f>
        <v>3</v>
      </c>
      <c r="L13">
        <f>(kd!$A13/kd!L$8)*kd!L13</f>
        <v>3</v>
      </c>
    </row>
    <row r="14" spans="1:12" x14ac:dyDescent="0.2">
      <c r="C14">
        <f>(kd!$A14/kd!C$8)*kd!C14</f>
        <v>3</v>
      </c>
      <c r="D14">
        <f>(kd!$A14/kd!D$8)*kd!D14</f>
        <v>3</v>
      </c>
      <c r="E14">
        <f>(kd!$A14/kd!E$8)*kd!E14</f>
        <v>3</v>
      </c>
      <c r="F14">
        <f>(kd!$A14/kd!F$8)*kd!F14</f>
        <v>3</v>
      </c>
      <c r="G14">
        <f>(kd!$A14/kd!G$8)*kd!G14</f>
        <v>3</v>
      </c>
      <c r="H14">
        <f>(kd!$A14/kd!H$8)*kd!H14</f>
        <v>3</v>
      </c>
      <c r="I14">
        <f>(kd!$A14/kd!I$8)*kd!I14</f>
        <v>3</v>
      </c>
      <c r="J14">
        <f>(kd!$A14/kd!J$8)*kd!J14</f>
        <v>3</v>
      </c>
      <c r="K14">
        <f>(kd!$A14/kd!K$8)*kd!K14</f>
        <v>3</v>
      </c>
      <c r="L14">
        <f>(kd!$A14/kd!L$8)*kd!L14</f>
        <v>3</v>
      </c>
    </row>
    <row r="15" spans="1:12" x14ac:dyDescent="0.2">
      <c r="C15">
        <f>(kd!$A15/kd!C$8)*kd!C15</f>
        <v>3</v>
      </c>
      <c r="D15">
        <f>(kd!$A15/kd!D$8)*kd!D15</f>
        <v>3</v>
      </c>
      <c r="E15">
        <f>(kd!$A15/kd!E$8)*kd!E15</f>
        <v>3</v>
      </c>
      <c r="F15">
        <f>(kd!$A15/kd!F$8)*kd!F15</f>
        <v>3</v>
      </c>
      <c r="G15">
        <f>(kd!$A15/kd!G$8)*kd!G15</f>
        <v>3</v>
      </c>
      <c r="H15">
        <f>(kd!$A15/kd!H$8)*kd!H15</f>
        <v>3</v>
      </c>
      <c r="I15">
        <f>(kd!$A15/kd!I$8)*kd!I15</f>
        <v>3</v>
      </c>
      <c r="J15">
        <f>(kd!$A15/kd!J$8)*kd!J15</f>
        <v>3</v>
      </c>
      <c r="K15">
        <f>(kd!$A15/kd!K$8)*kd!K15</f>
        <v>3</v>
      </c>
      <c r="L15">
        <f>(kd!$A15/kd!L$8)*kd!L15</f>
        <v>3</v>
      </c>
    </row>
    <row r="16" spans="1:12" x14ac:dyDescent="0.2">
      <c r="C16">
        <f>(kd!$A16/kd!C$8)*kd!C16</f>
        <v>3</v>
      </c>
      <c r="D16">
        <f>(kd!$A16/kd!D$8)*kd!D16</f>
        <v>3</v>
      </c>
      <c r="E16">
        <f>(kd!$A16/kd!E$8)*kd!E16</f>
        <v>3</v>
      </c>
      <c r="F16">
        <f>(kd!$A16/kd!F$8)*kd!F16</f>
        <v>3</v>
      </c>
      <c r="G16">
        <f>(kd!$A16/kd!G$8)*kd!G16</f>
        <v>3</v>
      </c>
      <c r="H16">
        <f>(kd!$A16/kd!H$8)*kd!H16</f>
        <v>3</v>
      </c>
      <c r="I16">
        <f>(kd!$A16/kd!I$8)*kd!I16</f>
        <v>3</v>
      </c>
      <c r="J16">
        <f>(kd!$A16/kd!J$8)*kd!J16</f>
        <v>3</v>
      </c>
      <c r="K16">
        <f>(kd!$A16/kd!K$8)*kd!K16</f>
        <v>3</v>
      </c>
      <c r="L16">
        <f>(kd!$A16/kd!L$8)*kd!L16</f>
        <v>3</v>
      </c>
    </row>
    <row r="17" spans="3:12" x14ac:dyDescent="0.2">
      <c r="C17">
        <f>(kd!$A17/kd!C$8)*kd!C17</f>
        <v>3</v>
      </c>
      <c r="D17">
        <f>(kd!$A17/kd!D$8)*kd!D17</f>
        <v>3</v>
      </c>
      <c r="E17">
        <f>(kd!$A17/kd!E$8)*kd!E17</f>
        <v>3</v>
      </c>
      <c r="F17">
        <f>(kd!$A17/kd!F$8)*kd!F17</f>
        <v>3</v>
      </c>
      <c r="G17">
        <f>(kd!$A17/kd!G$8)*kd!G17</f>
        <v>3</v>
      </c>
      <c r="H17">
        <f>(kd!$A17/kd!H$8)*kd!H17</f>
        <v>3</v>
      </c>
      <c r="I17">
        <f>(kd!$A17/kd!I$8)*kd!I17</f>
        <v>3</v>
      </c>
      <c r="J17">
        <f>(kd!$A17/kd!J$8)*kd!J17</f>
        <v>3</v>
      </c>
      <c r="K17">
        <f>(kd!$A17/kd!K$8)*kd!K17</f>
        <v>3</v>
      </c>
      <c r="L17">
        <f>(kd!$A17/kd!L$8)*kd!L17</f>
        <v>3</v>
      </c>
    </row>
    <row r="18" spans="3:12" x14ac:dyDescent="0.2">
      <c r="C18">
        <f>(kd!$A18/kd!C$8)*kd!C18</f>
        <v>3</v>
      </c>
      <c r="D18">
        <f>(kd!$A18/kd!D$8)*kd!D18</f>
        <v>3</v>
      </c>
      <c r="E18">
        <f>(kd!$A18/kd!E$8)*kd!E18</f>
        <v>3</v>
      </c>
      <c r="F18">
        <f>(kd!$A18/kd!F$8)*kd!F18</f>
        <v>3</v>
      </c>
      <c r="G18">
        <f>(kd!$A18/kd!G$8)*kd!G18</f>
        <v>3</v>
      </c>
      <c r="H18">
        <f>(kd!$A18/kd!H$8)*kd!H18</f>
        <v>3</v>
      </c>
      <c r="I18">
        <f>(kd!$A18/kd!I$8)*kd!I18</f>
        <v>3</v>
      </c>
      <c r="J18">
        <f>(kd!$A18/kd!J$8)*kd!J18</f>
        <v>3</v>
      </c>
      <c r="K18">
        <f>(kd!$A18/kd!K$8)*kd!K18</f>
        <v>3</v>
      </c>
      <c r="L18">
        <f>(kd!$A18/kd!L$8)*kd!L18</f>
        <v>3</v>
      </c>
    </row>
    <row r="19" spans="3:12" x14ac:dyDescent="0.2">
      <c r="C19">
        <f>(kd!$A19/kd!C$8)*kd!C19</f>
        <v>3</v>
      </c>
      <c r="D19">
        <f>(kd!$A19/kd!D$8)*kd!D19</f>
        <v>3</v>
      </c>
      <c r="E19">
        <f>(kd!$A19/kd!E$8)*kd!E19</f>
        <v>3</v>
      </c>
      <c r="F19">
        <f>(kd!$A19/kd!F$8)*kd!F19</f>
        <v>3</v>
      </c>
      <c r="G19">
        <f>(kd!$A19/kd!G$8)*kd!G19</f>
        <v>3</v>
      </c>
      <c r="H19">
        <f>(kd!$A19/kd!H$8)*kd!H19</f>
        <v>3</v>
      </c>
      <c r="I19">
        <f>(kd!$A19/kd!I$8)*kd!I19</f>
        <v>3</v>
      </c>
      <c r="J19">
        <f>(kd!$A19/kd!J$8)*kd!J19</f>
        <v>3</v>
      </c>
      <c r="K19">
        <f>(kd!$A19/kd!K$8)*kd!K19</f>
        <v>3</v>
      </c>
      <c r="L19">
        <f>(kd!$A19/kd!L$8)*kd!L19</f>
        <v>3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workbookViewId="0">
      <selection activeCell="C8" sqref="C8"/>
    </sheetView>
  </sheetViews>
  <sheetFormatPr defaultRowHeight="12.75" x14ac:dyDescent="0.2"/>
  <sheetData>
    <row r="1" spans="1:12" x14ac:dyDescent="0.2">
      <c r="A1" t="s">
        <v>24</v>
      </c>
      <c r="D1" t="s">
        <v>0</v>
      </c>
    </row>
    <row r="7" spans="1:12" x14ac:dyDescent="0.2">
      <c r="C7" t="s">
        <v>34</v>
      </c>
    </row>
    <row r="10" spans="1:12" x14ac:dyDescent="0.2">
      <c r="C10">
        <f>(kd!C$8/kd!$A10)*kd!C10</f>
        <v>300</v>
      </c>
      <c r="D10">
        <f>(kd!D$8/kd!$A10)*kd!D10</f>
        <v>300</v>
      </c>
      <c r="E10">
        <f>(kd!E$8/kd!$A10)*kd!E10</f>
        <v>300</v>
      </c>
      <c r="F10">
        <f>(kd!F$8/kd!$A10)*kd!F10</f>
        <v>300</v>
      </c>
      <c r="G10">
        <f>(kd!G$8/kd!$A10)*kd!G10</f>
        <v>300</v>
      </c>
      <c r="H10">
        <f>(kd!H$8/kd!$A10)*kd!H10</f>
        <v>300</v>
      </c>
      <c r="I10">
        <f>(kd!I$8/kd!$A10)*kd!I10</f>
        <v>300</v>
      </c>
      <c r="J10">
        <f>(kd!J$8/kd!$A10)*kd!J10</f>
        <v>300</v>
      </c>
      <c r="K10">
        <f>(kd!K$8/kd!$A10)*kd!K10</f>
        <v>300</v>
      </c>
      <c r="L10">
        <f>(kd!L$8/kd!$A10)*kd!L10</f>
        <v>300</v>
      </c>
    </row>
    <row r="11" spans="1:12" x14ac:dyDescent="0.2">
      <c r="C11">
        <f>(kd!C$8/kd!$A11)*kd!C11</f>
        <v>300</v>
      </c>
      <c r="D11">
        <f>(kd!D$8/kd!$A11)*kd!D11</f>
        <v>300</v>
      </c>
      <c r="E11">
        <f>(kd!E$8/kd!$A11)*kd!E11</f>
        <v>300</v>
      </c>
      <c r="F11">
        <f>(kd!F$8/kd!$A11)*kd!F11</f>
        <v>300</v>
      </c>
      <c r="G11">
        <f>(kd!G$8/kd!$A11)*kd!G11</f>
        <v>300</v>
      </c>
      <c r="H11">
        <f>(kd!H$8/kd!$A11)*kd!H11</f>
        <v>300</v>
      </c>
      <c r="I11">
        <f>(kd!I$8/kd!$A11)*kd!I11</f>
        <v>300</v>
      </c>
      <c r="J11">
        <f>(kd!J$8/kd!$A11)*kd!J11</f>
        <v>300</v>
      </c>
      <c r="K11">
        <f>(kd!K$8/kd!$A11)*kd!K11</f>
        <v>300</v>
      </c>
      <c r="L11">
        <f>(kd!L$8/kd!$A11)*kd!L11</f>
        <v>300</v>
      </c>
    </row>
    <row r="12" spans="1:12" x14ac:dyDescent="0.2">
      <c r="C12">
        <f>(kd!C$8/kd!$A12)*kd!C12</f>
        <v>300</v>
      </c>
      <c r="D12">
        <f>(kd!D$8/kd!$A12)*kd!D12</f>
        <v>300</v>
      </c>
      <c r="E12">
        <f>(kd!E$8/kd!$A12)*kd!E12</f>
        <v>300</v>
      </c>
      <c r="F12">
        <f>(kd!F$8/kd!$A12)*kd!F12</f>
        <v>300</v>
      </c>
      <c r="G12">
        <f>(kd!G$8/kd!$A12)*kd!G12</f>
        <v>300</v>
      </c>
      <c r="H12">
        <f>(kd!H$8/kd!$A12)*kd!H12</f>
        <v>300</v>
      </c>
      <c r="I12">
        <f>(kd!I$8/kd!$A12)*kd!I12</f>
        <v>300</v>
      </c>
      <c r="J12">
        <f>(kd!J$8/kd!$A12)*kd!J12</f>
        <v>300</v>
      </c>
      <c r="K12">
        <f>(kd!K$8/kd!$A12)*kd!K12</f>
        <v>300</v>
      </c>
      <c r="L12">
        <f>(kd!L$8/kd!$A12)*kd!L12</f>
        <v>300</v>
      </c>
    </row>
    <row r="13" spans="1:12" x14ac:dyDescent="0.2">
      <c r="C13">
        <f>(kd!C$8/kd!$A13)*kd!C13</f>
        <v>300</v>
      </c>
      <c r="D13">
        <f>(kd!D$8/kd!$A13)*kd!D13</f>
        <v>300</v>
      </c>
      <c r="E13">
        <f>(kd!E$8/kd!$A13)*kd!E13</f>
        <v>300</v>
      </c>
      <c r="F13">
        <f>(kd!F$8/kd!$A13)*kd!F13</f>
        <v>300</v>
      </c>
      <c r="G13">
        <f>(kd!G$8/kd!$A13)*kd!G13</f>
        <v>300</v>
      </c>
      <c r="H13">
        <f>(kd!H$8/kd!$A13)*kd!H13</f>
        <v>300</v>
      </c>
      <c r="I13">
        <f>(kd!I$8/kd!$A13)*kd!I13</f>
        <v>300</v>
      </c>
      <c r="J13">
        <f>(kd!J$8/kd!$A13)*kd!J13</f>
        <v>300</v>
      </c>
      <c r="K13">
        <f>(kd!K$8/kd!$A13)*kd!K13</f>
        <v>300</v>
      </c>
      <c r="L13">
        <f>(kd!L$8/kd!$A13)*kd!L13</f>
        <v>300</v>
      </c>
    </row>
    <row r="14" spans="1:12" x14ac:dyDescent="0.2">
      <c r="C14">
        <f>(kd!C$8/kd!$A14)*kd!C14</f>
        <v>300</v>
      </c>
      <c r="D14">
        <f>(kd!D$8/kd!$A14)*kd!D14</f>
        <v>300</v>
      </c>
      <c r="E14">
        <f>(kd!E$8/kd!$A14)*kd!E14</f>
        <v>300</v>
      </c>
      <c r="F14">
        <f>(kd!F$8/kd!$A14)*kd!F14</f>
        <v>300</v>
      </c>
      <c r="G14">
        <f>(kd!G$8/kd!$A14)*kd!G14</f>
        <v>300</v>
      </c>
      <c r="H14">
        <f>(kd!H$8/kd!$A14)*kd!H14</f>
        <v>300</v>
      </c>
      <c r="I14">
        <f>(kd!I$8/kd!$A14)*kd!I14</f>
        <v>300</v>
      </c>
      <c r="J14">
        <f>(kd!J$8/kd!$A14)*kd!J14</f>
        <v>300</v>
      </c>
      <c r="K14">
        <f>(kd!K$8/kd!$A14)*kd!K14</f>
        <v>300</v>
      </c>
      <c r="L14">
        <f>(kd!L$8/kd!$A14)*kd!L14</f>
        <v>300</v>
      </c>
    </row>
    <row r="15" spans="1:12" x14ac:dyDescent="0.2">
      <c r="C15">
        <f>(kd!C$8/kd!$A15)*kd!C15</f>
        <v>300</v>
      </c>
      <c r="D15">
        <f>(kd!D$8/kd!$A15)*kd!D15</f>
        <v>300</v>
      </c>
      <c r="E15">
        <f>(kd!E$8/kd!$A15)*kd!E15</f>
        <v>300</v>
      </c>
      <c r="F15">
        <f>(kd!F$8/kd!$A15)*kd!F15</f>
        <v>300</v>
      </c>
      <c r="G15">
        <f>(kd!G$8/kd!$A15)*kd!G15</f>
        <v>300</v>
      </c>
      <c r="H15">
        <f>(kd!H$8/kd!$A15)*kd!H15</f>
        <v>300</v>
      </c>
      <c r="I15">
        <f>(kd!I$8/kd!$A15)*kd!I15</f>
        <v>300</v>
      </c>
      <c r="J15">
        <f>(kd!J$8/kd!$A15)*kd!J15</f>
        <v>300</v>
      </c>
      <c r="K15">
        <f>(kd!K$8/kd!$A15)*kd!K15</f>
        <v>300</v>
      </c>
      <c r="L15">
        <f>(kd!L$8/kd!$A15)*kd!L15</f>
        <v>300</v>
      </c>
    </row>
    <row r="16" spans="1:12" x14ac:dyDescent="0.2">
      <c r="C16">
        <f>(kd!C$8/kd!$A16)*kd!C16</f>
        <v>300</v>
      </c>
      <c r="D16">
        <f>(kd!D$8/kd!$A16)*kd!D16</f>
        <v>300</v>
      </c>
      <c r="E16">
        <f>(kd!E$8/kd!$A16)*kd!E16</f>
        <v>300</v>
      </c>
      <c r="F16">
        <f>(kd!F$8/kd!$A16)*kd!F16</f>
        <v>300</v>
      </c>
      <c r="G16">
        <f>(kd!G$8/kd!$A16)*kd!G16</f>
        <v>300</v>
      </c>
      <c r="H16">
        <f>(kd!H$8/kd!$A16)*kd!H16</f>
        <v>300</v>
      </c>
      <c r="I16">
        <f>(kd!I$8/kd!$A16)*kd!I16</f>
        <v>300</v>
      </c>
      <c r="J16">
        <f>(kd!J$8/kd!$A16)*kd!J16</f>
        <v>300</v>
      </c>
      <c r="K16">
        <f>(kd!K$8/kd!$A16)*kd!K16</f>
        <v>300</v>
      </c>
      <c r="L16">
        <f>(kd!L$8/kd!$A16)*kd!L16</f>
        <v>300</v>
      </c>
    </row>
    <row r="17" spans="3:12" x14ac:dyDescent="0.2">
      <c r="C17">
        <f>(kd!C$8/kd!$A17)*kd!C17</f>
        <v>300</v>
      </c>
      <c r="D17">
        <f>(kd!D$8/kd!$A17)*kd!D17</f>
        <v>300</v>
      </c>
      <c r="E17">
        <f>(kd!E$8/kd!$A17)*kd!E17</f>
        <v>300</v>
      </c>
      <c r="F17">
        <f>(kd!F$8/kd!$A17)*kd!F17</f>
        <v>300</v>
      </c>
      <c r="G17">
        <f>(kd!G$8/kd!$A17)*kd!G17</f>
        <v>300</v>
      </c>
      <c r="H17">
        <f>(kd!H$8/kd!$A17)*kd!H17</f>
        <v>300</v>
      </c>
      <c r="I17">
        <f>(kd!I$8/kd!$A17)*kd!I17</f>
        <v>300</v>
      </c>
      <c r="J17">
        <f>(kd!J$8/kd!$A17)*kd!J17</f>
        <v>300</v>
      </c>
      <c r="K17">
        <f>(kd!K$8/kd!$A17)*kd!K17</f>
        <v>300</v>
      </c>
      <c r="L17">
        <f>(kd!L$8/kd!$A17)*kd!L17</f>
        <v>300</v>
      </c>
    </row>
    <row r="18" spans="3:12" x14ac:dyDescent="0.2">
      <c r="C18">
        <f>(kd!C$8/kd!$A18)*kd!C18</f>
        <v>300</v>
      </c>
      <c r="D18">
        <f>(kd!D$8/kd!$A18)*kd!D18</f>
        <v>300</v>
      </c>
      <c r="E18">
        <f>(kd!E$8/kd!$A18)*kd!E18</f>
        <v>300</v>
      </c>
      <c r="F18">
        <f>(kd!F$8/kd!$A18)*kd!F18</f>
        <v>300</v>
      </c>
      <c r="G18">
        <f>(kd!G$8/kd!$A18)*kd!G18</f>
        <v>300</v>
      </c>
      <c r="H18">
        <f>(kd!H$8/kd!$A18)*kd!H18</f>
        <v>300</v>
      </c>
      <c r="I18">
        <f>(kd!I$8/kd!$A18)*kd!I18</f>
        <v>300</v>
      </c>
      <c r="J18">
        <f>(kd!J$8/kd!$A18)*kd!J18</f>
        <v>300</v>
      </c>
      <c r="K18">
        <f>(kd!K$8/kd!$A18)*kd!K18</f>
        <v>300</v>
      </c>
      <c r="L18">
        <f>(kd!L$8/kd!$A18)*kd!L18</f>
        <v>300</v>
      </c>
    </row>
    <row r="19" spans="3:12" x14ac:dyDescent="0.2">
      <c r="C19">
        <f>(kd!C$8/kd!$A19)*kd!C19</f>
        <v>300</v>
      </c>
      <c r="D19">
        <f>(kd!D$8/kd!$A19)*kd!D19</f>
        <v>300</v>
      </c>
      <c r="E19">
        <f>(kd!E$8/kd!$A19)*kd!E19</f>
        <v>300</v>
      </c>
      <c r="F19">
        <f>(kd!F$8/kd!$A19)*kd!F19</f>
        <v>300</v>
      </c>
      <c r="G19">
        <f>(kd!G$8/kd!$A19)*kd!G19</f>
        <v>300</v>
      </c>
      <c r="H19">
        <f>(kd!H$8/kd!$A19)*kd!H19</f>
        <v>300</v>
      </c>
      <c r="I19">
        <f>(kd!I$8/kd!$A19)*kd!I19</f>
        <v>300</v>
      </c>
      <c r="J19">
        <f>(kd!J$8/kd!$A19)*kd!J19</f>
        <v>300</v>
      </c>
      <c r="K19">
        <f>(kd!K$8/kd!$A19)*kd!K19</f>
        <v>300</v>
      </c>
      <c r="L19">
        <f>(kd!L$8/kd!$A19)*kd!L19</f>
        <v>300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"/>
  <sheetViews>
    <sheetView workbookViewId="0">
      <selection activeCell="A2" sqref="A2"/>
    </sheetView>
  </sheetViews>
  <sheetFormatPr defaultRowHeight="12.75" x14ac:dyDescent="0.2"/>
  <sheetData>
    <row r="1" spans="1:13" x14ac:dyDescent="0.2">
      <c r="A1" t="s">
        <v>33</v>
      </c>
    </row>
    <row r="10" spans="1:13" x14ac:dyDescent="0.2">
      <c r="C10">
        <f>(VerCap!B9+VerCap!C9)/2</f>
        <v>0</v>
      </c>
      <c r="D10">
        <f>(VerCap!C9+VerCap!D9)/2</f>
        <v>0</v>
      </c>
      <c r="E10">
        <f>(VerCap!D9+VerCap!E9)/2</f>
        <v>0</v>
      </c>
      <c r="F10">
        <f>(VerCap!E9+VerCap!F9)/2</f>
        <v>0</v>
      </c>
      <c r="G10">
        <f>(VerCap!F9+VerCap!G9)/2</f>
        <v>0</v>
      </c>
      <c r="H10">
        <f>(VerCap!G9+VerCap!H9)/2</f>
        <v>0</v>
      </c>
      <c r="I10">
        <f>(VerCap!H9+VerCap!I9)/2</f>
        <v>0</v>
      </c>
      <c r="J10">
        <f>(VerCap!I9+VerCap!J9)/2</f>
        <v>0</v>
      </c>
      <c r="K10">
        <f>(VerCap!J9+VerCap!K9)/2</f>
        <v>0</v>
      </c>
      <c r="L10">
        <f>(VerCap!K9+VerCap!L9)/2</f>
        <v>0</v>
      </c>
      <c r="M10">
        <f>(VerCap!L9+VerCap!M9)/2</f>
        <v>0</v>
      </c>
    </row>
    <row r="11" spans="1:13" x14ac:dyDescent="0.2">
      <c r="C11">
        <f>(VerCap!B10+VerCap!C10)/2</f>
        <v>150</v>
      </c>
      <c r="D11">
        <f>(VerCap!C10+VerCap!D10)/2</f>
        <v>300</v>
      </c>
      <c r="E11">
        <f>(VerCap!D10+VerCap!E10)/2</f>
        <v>300</v>
      </c>
      <c r="F11">
        <f>(VerCap!E10+VerCap!F10)/2</f>
        <v>300</v>
      </c>
      <c r="G11">
        <f>(VerCap!F10+VerCap!G10)/2</f>
        <v>300</v>
      </c>
      <c r="H11">
        <f>(VerCap!G10+VerCap!H10)/2</f>
        <v>300</v>
      </c>
      <c r="I11">
        <f>(VerCap!H10+VerCap!I10)/2</f>
        <v>300</v>
      </c>
      <c r="J11">
        <f>(VerCap!I10+VerCap!J10)/2</f>
        <v>300</v>
      </c>
      <c r="K11">
        <f>(VerCap!J10+VerCap!K10)/2</f>
        <v>300</v>
      </c>
      <c r="L11">
        <f>(VerCap!K10+VerCap!L10)/2</f>
        <v>300</v>
      </c>
      <c r="M11">
        <f>(VerCap!L10+VerCap!M10)/2</f>
        <v>150</v>
      </c>
    </row>
    <row r="12" spans="1:13" x14ac:dyDescent="0.2">
      <c r="C12">
        <f>(VerCap!B11+VerCap!C11)/2</f>
        <v>150</v>
      </c>
      <c r="D12">
        <f>(VerCap!C11+VerCap!D11)/2</f>
        <v>300</v>
      </c>
      <c r="E12">
        <f>(VerCap!D11+VerCap!E11)/2</f>
        <v>300</v>
      </c>
      <c r="F12">
        <f>(VerCap!E11+VerCap!F11)/2</f>
        <v>300</v>
      </c>
      <c r="G12">
        <f>(VerCap!F11+VerCap!G11)/2</f>
        <v>300</v>
      </c>
      <c r="H12">
        <f>(VerCap!G11+VerCap!H11)/2</f>
        <v>300</v>
      </c>
      <c r="I12">
        <f>(VerCap!H11+VerCap!I11)/2</f>
        <v>300</v>
      </c>
      <c r="J12">
        <f>(VerCap!I11+VerCap!J11)/2</f>
        <v>300</v>
      </c>
      <c r="K12">
        <f>(VerCap!J11+VerCap!K11)/2</f>
        <v>300</v>
      </c>
      <c r="L12">
        <f>(VerCap!K11+VerCap!L11)/2</f>
        <v>300</v>
      </c>
      <c r="M12">
        <f>(VerCap!L11+VerCap!M11)/2</f>
        <v>150</v>
      </c>
    </row>
    <row r="13" spans="1:13" x14ac:dyDescent="0.2">
      <c r="C13">
        <f>(VerCap!B12+VerCap!C12)/2</f>
        <v>150</v>
      </c>
      <c r="D13">
        <f>(VerCap!C12+VerCap!D12)/2</f>
        <v>300</v>
      </c>
      <c r="E13">
        <f>(VerCap!D12+VerCap!E12)/2</f>
        <v>300</v>
      </c>
      <c r="F13">
        <f>(VerCap!E12+VerCap!F12)/2</f>
        <v>300</v>
      </c>
      <c r="G13">
        <f>(VerCap!F12+VerCap!G12)/2</f>
        <v>300</v>
      </c>
      <c r="H13">
        <f>(VerCap!G12+VerCap!H12)/2</f>
        <v>300</v>
      </c>
      <c r="I13">
        <f>(VerCap!H12+VerCap!I12)/2</f>
        <v>300</v>
      </c>
      <c r="J13">
        <f>(VerCap!I12+VerCap!J12)/2</f>
        <v>300</v>
      </c>
      <c r="K13">
        <f>(VerCap!J12+VerCap!K12)/2</f>
        <v>300</v>
      </c>
      <c r="L13">
        <f>(VerCap!K12+VerCap!L12)/2</f>
        <v>300</v>
      </c>
      <c r="M13">
        <f>(VerCap!L12+VerCap!M12)/2</f>
        <v>150</v>
      </c>
    </row>
    <row r="14" spans="1:13" x14ac:dyDescent="0.2">
      <c r="C14">
        <f>(VerCap!B13+VerCap!C13)/2</f>
        <v>150</v>
      </c>
      <c r="D14">
        <f>(VerCap!C13+VerCap!D13)/2</f>
        <v>300</v>
      </c>
      <c r="E14">
        <f>(VerCap!D13+VerCap!E13)/2</f>
        <v>300</v>
      </c>
      <c r="F14">
        <f>(VerCap!E13+VerCap!F13)/2</f>
        <v>300</v>
      </c>
      <c r="G14">
        <f>(VerCap!F13+VerCap!G13)/2</f>
        <v>300</v>
      </c>
      <c r="H14">
        <f>(VerCap!G13+VerCap!H13)/2</f>
        <v>300</v>
      </c>
      <c r="I14">
        <f>(VerCap!H13+VerCap!I13)/2</f>
        <v>300</v>
      </c>
      <c r="J14">
        <f>(VerCap!I13+VerCap!J13)/2</f>
        <v>300</v>
      </c>
      <c r="K14">
        <f>(VerCap!J13+VerCap!K13)/2</f>
        <v>300</v>
      </c>
      <c r="L14">
        <f>(VerCap!K13+VerCap!L13)/2</f>
        <v>300</v>
      </c>
      <c r="M14">
        <f>(VerCap!L13+VerCap!M13)/2</f>
        <v>150</v>
      </c>
    </row>
    <row r="15" spans="1:13" x14ac:dyDescent="0.2">
      <c r="C15">
        <f>(VerCap!B14+VerCap!C14)/2</f>
        <v>150</v>
      </c>
      <c r="D15">
        <f>(VerCap!C14+VerCap!D14)/2</f>
        <v>300</v>
      </c>
      <c r="E15">
        <f>(VerCap!D14+VerCap!E14)/2</f>
        <v>300</v>
      </c>
      <c r="F15">
        <f>(VerCap!E14+VerCap!F14)/2</f>
        <v>300</v>
      </c>
      <c r="G15">
        <f>(VerCap!F14+VerCap!G14)/2</f>
        <v>300</v>
      </c>
      <c r="H15">
        <f>(VerCap!G14+VerCap!H14)/2</f>
        <v>300</v>
      </c>
      <c r="I15">
        <f>(VerCap!H14+VerCap!I14)/2</f>
        <v>300</v>
      </c>
      <c r="J15">
        <f>(VerCap!I14+VerCap!J14)/2</f>
        <v>300</v>
      </c>
      <c r="K15">
        <f>(VerCap!J14+VerCap!K14)/2</f>
        <v>300</v>
      </c>
      <c r="L15">
        <f>(VerCap!K14+VerCap!L14)/2</f>
        <v>300</v>
      </c>
      <c r="M15">
        <f>(VerCap!L14+VerCap!M14)/2</f>
        <v>150</v>
      </c>
    </row>
    <row r="16" spans="1:13" x14ac:dyDescent="0.2">
      <c r="C16">
        <f>(VerCap!B15+VerCap!C15)/2</f>
        <v>150</v>
      </c>
      <c r="D16">
        <f>(VerCap!C15+VerCap!D15)/2</f>
        <v>300</v>
      </c>
      <c r="E16">
        <f>(VerCap!D15+VerCap!E15)/2</f>
        <v>300</v>
      </c>
      <c r="F16">
        <f>(VerCap!E15+VerCap!F15)/2</f>
        <v>300</v>
      </c>
      <c r="G16">
        <f>(VerCap!F15+VerCap!G15)/2</f>
        <v>300</v>
      </c>
      <c r="H16">
        <f>(VerCap!G15+VerCap!H15)/2</f>
        <v>300</v>
      </c>
      <c r="I16">
        <f>(VerCap!H15+VerCap!I15)/2</f>
        <v>300</v>
      </c>
      <c r="J16">
        <f>(VerCap!I15+VerCap!J15)/2</f>
        <v>300</v>
      </c>
      <c r="K16">
        <f>(VerCap!J15+VerCap!K15)/2</f>
        <v>300</v>
      </c>
      <c r="L16">
        <f>(VerCap!K15+VerCap!L15)/2</f>
        <v>300</v>
      </c>
      <c r="M16">
        <f>(VerCap!L15+VerCap!M15)/2</f>
        <v>150</v>
      </c>
    </row>
    <row r="17" spans="3:13" x14ac:dyDescent="0.2">
      <c r="C17">
        <f>(VerCap!B16+VerCap!C16)/2</f>
        <v>150</v>
      </c>
      <c r="D17">
        <f>(VerCap!C16+VerCap!D16)/2</f>
        <v>300</v>
      </c>
      <c r="E17">
        <f>(VerCap!D16+VerCap!E16)/2</f>
        <v>300</v>
      </c>
      <c r="F17">
        <f>(VerCap!E16+VerCap!F16)/2</f>
        <v>300</v>
      </c>
      <c r="G17">
        <f>(VerCap!F16+VerCap!G16)/2</f>
        <v>300</v>
      </c>
      <c r="H17">
        <f>(VerCap!G16+VerCap!H16)/2</f>
        <v>300</v>
      </c>
      <c r="I17">
        <f>(VerCap!H16+VerCap!I16)/2</f>
        <v>300</v>
      </c>
      <c r="J17">
        <f>(VerCap!I16+VerCap!J16)/2</f>
        <v>300</v>
      </c>
      <c r="K17">
        <f>(VerCap!J16+VerCap!K16)/2</f>
        <v>300</v>
      </c>
      <c r="L17">
        <f>(VerCap!K16+VerCap!L16)/2</f>
        <v>300</v>
      </c>
      <c r="M17">
        <f>(VerCap!L16+VerCap!M16)/2</f>
        <v>150</v>
      </c>
    </row>
    <row r="18" spans="3:13" x14ac:dyDescent="0.2">
      <c r="C18">
        <f>(VerCap!B17+VerCap!C17)/2</f>
        <v>150</v>
      </c>
      <c r="D18">
        <f>(VerCap!C17+VerCap!D17)/2</f>
        <v>300</v>
      </c>
      <c r="E18">
        <f>(VerCap!D17+VerCap!E17)/2</f>
        <v>300</v>
      </c>
      <c r="F18">
        <f>(VerCap!E17+VerCap!F17)/2</f>
        <v>300</v>
      </c>
      <c r="G18">
        <f>(VerCap!F17+VerCap!G17)/2</f>
        <v>300</v>
      </c>
      <c r="H18">
        <f>(VerCap!G17+VerCap!H17)/2</f>
        <v>300</v>
      </c>
      <c r="I18">
        <f>(VerCap!H17+VerCap!I17)/2</f>
        <v>300</v>
      </c>
      <c r="J18">
        <f>(VerCap!I17+VerCap!J17)/2</f>
        <v>300</v>
      </c>
      <c r="K18">
        <f>(VerCap!J17+VerCap!K17)/2</f>
        <v>300</v>
      </c>
      <c r="L18">
        <f>(VerCap!K17+VerCap!L17)/2</f>
        <v>300</v>
      </c>
      <c r="M18">
        <f>(VerCap!L17+VerCap!M17)/2</f>
        <v>150</v>
      </c>
    </row>
    <row r="19" spans="3:13" x14ac:dyDescent="0.2">
      <c r="C19">
        <f>(VerCap!B18+VerCap!C18)/2</f>
        <v>150</v>
      </c>
      <c r="D19">
        <f>(VerCap!C18+VerCap!D18)/2</f>
        <v>300</v>
      </c>
      <c r="E19">
        <f>(VerCap!D18+VerCap!E18)/2</f>
        <v>300</v>
      </c>
      <c r="F19">
        <f>(VerCap!E18+VerCap!F18)/2</f>
        <v>300</v>
      </c>
      <c r="G19">
        <f>(VerCap!F18+VerCap!G18)/2</f>
        <v>300</v>
      </c>
      <c r="H19">
        <f>(VerCap!G18+VerCap!H18)/2</f>
        <v>300</v>
      </c>
      <c r="I19">
        <f>(VerCap!H18+VerCap!I18)/2</f>
        <v>300</v>
      </c>
      <c r="J19">
        <f>(VerCap!I18+VerCap!J18)/2</f>
        <v>300</v>
      </c>
      <c r="K19">
        <f>(VerCap!J18+VerCap!K18)/2</f>
        <v>300</v>
      </c>
      <c r="L19">
        <f>(VerCap!K18+VerCap!L18)/2</f>
        <v>300</v>
      </c>
      <c r="M19">
        <f>(VerCap!L18+VerCap!M18)/2</f>
        <v>150</v>
      </c>
    </row>
    <row r="20" spans="3:13" x14ac:dyDescent="0.2">
      <c r="C20">
        <f>(VerCap!B19+VerCap!C19)/2</f>
        <v>150</v>
      </c>
      <c r="D20">
        <f>(VerCap!C19+VerCap!D19)/2</f>
        <v>300</v>
      </c>
      <c r="E20">
        <f>(VerCap!D19+VerCap!E19)/2</f>
        <v>300</v>
      </c>
      <c r="F20">
        <f>(VerCap!E19+VerCap!F19)/2</f>
        <v>300</v>
      </c>
      <c r="G20">
        <f>(VerCap!F19+VerCap!G19)/2</f>
        <v>300</v>
      </c>
      <c r="H20">
        <f>(VerCap!G19+VerCap!H19)/2</f>
        <v>300</v>
      </c>
      <c r="I20">
        <f>(VerCap!H19+VerCap!I19)/2</f>
        <v>300</v>
      </c>
      <c r="J20">
        <f>(VerCap!I19+VerCap!J19)/2</f>
        <v>300</v>
      </c>
      <c r="K20">
        <f>(VerCap!J19+VerCap!K19)/2</f>
        <v>300</v>
      </c>
      <c r="L20">
        <f>(VerCap!K19+VerCap!L19)/2</f>
        <v>300</v>
      </c>
      <c r="M20">
        <f>(VerCap!L19+VerCap!M19)/2</f>
        <v>150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"/>
  <sheetViews>
    <sheetView workbookViewId="0">
      <selection activeCell="C20" sqref="C10:M20"/>
    </sheetView>
  </sheetViews>
  <sheetFormatPr defaultRowHeight="12.75" x14ac:dyDescent="0.2"/>
  <sheetData>
    <row r="1" spans="1:13" x14ac:dyDescent="0.2">
      <c r="A1" s="2" t="s">
        <v>3</v>
      </c>
    </row>
    <row r="10" spans="1:13" x14ac:dyDescent="0.2">
      <c r="C10">
        <f>(HorCap!C10+HorCap!C9)/2</f>
        <v>1.5</v>
      </c>
      <c r="D10">
        <f>(HorCap!D10+HorCap!D9)/2</f>
        <v>1.5</v>
      </c>
      <c r="E10">
        <f>(HorCap!E10+HorCap!E9)/2</f>
        <v>1.5</v>
      </c>
      <c r="F10">
        <f>(HorCap!F10+HorCap!F9)/2</f>
        <v>1.5</v>
      </c>
      <c r="G10">
        <f>(HorCap!G10+HorCap!G9)/2</f>
        <v>1.5</v>
      </c>
      <c r="H10">
        <f>(HorCap!H10+HorCap!H9)/2</f>
        <v>1.5</v>
      </c>
      <c r="I10">
        <f>(HorCap!I10+HorCap!I9)/2</f>
        <v>1.5</v>
      </c>
      <c r="J10">
        <f>(HorCap!J10+HorCap!J9)/2</f>
        <v>1.5</v>
      </c>
      <c r="K10">
        <f>(HorCap!K10+HorCap!K9)/2</f>
        <v>1.5</v>
      </c>
      <c r="L10">
        <f>(HorCap!L10+HorCap!L9)/2</f>
        <v>1.5</v>
      </c>
      <c r="M10">
        <f>(HorCap!M10+HorCap!M9)/2</f>
        <v>0</v>
      </c>
    </row>
    <row r="11" spans="1:13" x14ac:dyDescent="0.2">
      <c r="C11">
        <f>(HorCap!C11+HorCap!C10)/2</f>
        <v>3</v>
      </c>
      <c r="D11">
        <f>(HorCap!D11+HorCap!D10)/2</f>
        <v>3</v>
      </c>
      <c r="E11">
        <f>(HorCap!E11+HorCap!E10)/2</f>
        <v>3</v>
      </c>
      <c r="F11">
        <f>(HorCap!F11+HorCap!F10)/2</f>
        <v>3</v>
      </c>
      <c r="G11">
        <f>(HorCap!G11+HorCap!G10)/2</f>
        <v>3</v>
      </c>
      <c r="H11">
        <f>(HorCap!H11+HorCap!H10)/2</f>
        <v>3</v>
      </c>
      <c r="I11">
        <f>(HorCap!I11+HorCap!I10)/2</f>
        <v>3</v>
      </c>
      <c r="J11">
        <f>(HorCap!J11+HorCap!J10)/2</f>
        <v>3</v>
      </c>
      <c r="K11">
        <f>(HorCap!K11+HorCap!K10)/2</f>
        <v>3</v>
      </c>
      <c r="L11">
        <f>(HorCap!L11+HorCap!L10)/2</f>
        <v>3</v>
      </c>
      <c r="M11">
        <f>(HorCap!M11+HorCap!M10)/2</f>
        <v>0</v>
      </c>
    </row>
    <row r="12" spans="1:13" x14ac:dyDescent="0.2">
      <c r="C12">
        <f>(HorCap!C12+HorCap!C11)/2</f>
        <v>3</v>
      </c>
      <c r="D12">
        <f>(HorCap!D12+HorCap!D11)/2</f>
        <v>3</v>
      </c>
      <c r="E12">
        <f>(HorCap!E12+HorCap!E11)/2</f>
        <v>3</v>
      </c>
      <c r="F12">
        <f>(HorCap!F12+HorCap!F11)/2</f>
        <v>3</v>
      </c>
      <c r="G12">
        <f>(HorCap!G12+HorCap!G11)/2</f>
        <v>3</v>
      </c>
      <c r="H12">
        <f>(HorCap!H12+HorCap!H11)/2</f>
        <v>3</v>
      </c>
      <c r="I12">
        <f>(HorCap!I12+HorCap!I11)/2</f>
        <v>3</v>
      </c>
      <c r="J12">
        <f>(HorCap!J12+HorCap!J11)/2</f>
        <v>3</v>
      </c>
      <c r="K12">
        <f>(HorCap!K12+HorCap!K11)/2</f>
        <v>3</v>
      </c>
      <c r="L12">
        <f>(HorCap!L12+HorCap!L11)/2</f>
        <v>3</v>
      </c>
      <c r="M12">
        <f>(HorCap!M12+HorCap!M11)/2</f>
        <v>0</v>
      </c>
    </row>
    <row r="13" spans="1:13" x14ac:dyDescent="0.2">
      <c r="C13">
        <f>(HorCap!C13+HorCap!C12)/2</f>
        <v>3</v>
      </c>
      <c r="D13">
        <f>(HorCap!D13+HorCap!D12)/2</f>
        <v>3</v>
      </c>
      <c r="E13">
        <f>(HorCap!E13+HorCap!E12)/2</f>
        <v>3</v>
      </c>
      <c r="F13">
        <f>(HorCap!F13+HorCap!F12)/2</f>
        <v>3</v>
      </c>
      <c r="G13">
        <f>(HorCap!G13+HorCap!G12)/2</f>
        <v>3</v>
      </c>
      <c r="H13">
        <f>(HorCap!H13+HorCap!H12)/2</f>
        <v>3</v>
      </c>
      <c r="I13">
        <f>(HorCap!I13+HorCap!I12)/2</f>
        <v>3</v>
      </c>
      <c r="J13">
        <f>(HorCap!J13+HorCap!J12)/2</f>
        <v>3</v>
      </c>
      <c r="K13">
        <f>(HorCap!K13+HorCap!K12)/2</f>
        <v>3</v>
      </c>
      <c r="L13">
        <f>(HorCap!L13+HorCap!L12)/2</f>
        <v>3</v>
      </c>
      <c r="M13">
        <f>(HorCap!M13+HorCap!M12)/2</f>
        <v>0</v>
      </c>
    </row>
    <row r="14" spans="1:13" x14ac:dyDescent="0.2">
      <c r="C14">
        <f>(HorCap!C14+HorCap!C13)/2</f>
        <v>3</v>
      </c>
      <c r="D14">
        <f>(HorCap!D14+HorCap!D13)/2</f>
        <v>3</v>
      </c>
      <c r="E14">
        <f>(HorCap!E14+HorCap!E13)/2</f>
        <v>3</v>
      </c>
      <c r="F14">
        <f>(HorCap!F14+HorCap!F13)/2</f>
        <v>3</v>
      </c>
      <c r="G14">
        <f>(HorCap!G14+HorCap!G13)/2</f>
        <v>3</v>
      </c>
      <c r="H14">
        <f>(HorCap!H14+HorCap!H13)/2</f>
        <v>3</v>
      </c>
      <c r="I14">
        <f>(HorCap!I14+HorCap!I13)/2</f>
        <v>3</v>
      </c>
      <c r="J14">
        <f>(HorCap!J14+HorCap!J13)/2</f>
        <v>3</v>
      </c>
      <c r="K14">
        <f>(HorCap!K14+HorCap!K13)/2</f>
        <v>3</v>
      </c>
      <c r="L14">
        <f>(HorCap!L14+HorCap!L13)/2</f>
        <v>3</v>
      </c>
      <c r="M14">
        <f>(HorCap!M14+HorCap!M13)/2</f>
        <v>0</v>
      </c>
    </row>
    <row r="15" spans="1:13" x14ac:dyDescent="0.2">
      <c r="C15">
        <f>(HorCap!C15+HorCap!C14)/2</f>
        <v>3</v>
      </c>
      <c r="D15">
        <f>(HorCap!D15+HorCap!D14)/2</f>
        <v>3</v>
      </c>
      <c r="E15">
        <f>(HorCap!E15+HorCap!E14)/2</f>
        <v>3</v>
      </c>
      <c r="F15">
        <f>(HorCap!F15+HorCap!F14)/2</f>
        <v>3</v>
      </c>
      <c r="G15">
        <f>(HorCap!G15+HorCap!G14)/2</f>
        <v>3</v>
      </c>
      <c r="H15">
        <f>(HorCap!H15+HorCap!H14)/2</f>
        <v>3</v>
      </c>
      <c r="I15">
        <f>(HorCap!I15+HorCap!I14)/2</f>
        <v>3</v>
      </c>
      <c r="J15">
        <f>(HorCap!J15+HorCap!J14)/2</f>
        <v>3</v>
      </c>
      <c r="K15">
        <f>(HorCap!K15+HorCap!K14)/2</f>
        <v>3</v>
      </c>
      <c r="L15">
        <f>(HorCap!L15+HorCap!L14)/2</f>
        <v>3</v>
      </c>
      <c r="M15">
        <f>(HorCap!M15+HorCap!M14)/2</f>
        <v>0</v>
      </c>
    </row>
    <row r="16" spans="1:13" x14ac:dyDescent="0.2">
      <c r="C16">
        <f>(HorCap!C16+HorCap!C15)/2</f>
        <v>3</v>
      </c>
      <c r="D16">
        <f>(HorCap!D16+HorCap!D15)/2</f>
        <v>3</v>
      </c>
      <c r="E16">
        <f>(HorCap!E16+HorCap!E15)/2</f>
        <v>3</v>
      </c>
      <c r="F16">
        <f>(HorCap!F16+HorCap!F15)/2</f>
        <v>3</v>
      </c>
      <c r="G16">
        <f>(HorCap!G16+HorCap!G15)/2</f>
        <v>3</v>
      </c>
      <c r="H16">
        <f>(HorCap!H16+HorCap!H15)/2</f>
        <v>3</v>
      </c>
      <c r="I16">
        <f>(HorCap!I16+HorCap!I15)/2</f>
        <v>3</v>
      </c>
      <c r="J16">
        <f>(HorCap!J16+HorCap!J15)/2</f>
        <v>3</v>
      </c>
      <c r="K16">
        <f>(HorCap!K16+HorCap!K15)/2</f>
        <v>3</v>
      </c>
      <c r="L16">
        <f>(HorCap!L16+HorCap!L15)/2</f>
        <v>3</v>
      </c>
      <c r="M16">
        <f>(HorCap!M16+HorCap!M15)/2</f>
        <v>0</v>
      </c>
    </row>
    <row r="17" spans="3:13" x14ac:dyDescent="0.2">
      <c r="C17">
        <f>(HorCap!C17+HorCap!C16)/2</f>
        <v>3</v>
      </c>
      <c r="D17">
        <f>(HorCap!D17+HorCap!D16)/2</f>
        <v>3</v>
      </c>
      <c r="E17">
        <f>(HorCap!E17+HorCap!E16)/2</f>
        <v>3</v>
      </c>
      <c r="F17">
        <f>(HorCap!F17+HorCap!F16)/2</f>
        <v>3</v>
      </c>
      <c r="G17">
        <f>(HorCap!G17+HorCap!G16)/2</f>
        <v>3</v>
      </c>
      <c r="H17">
        <f>(HorCap!H17+HorCap!H16)/2</f>
        <v>3</v>
      </c>
      <c r="I17">
        <f>(HorCap!I17+HorCap!I16)/2</f>
        <v>3</v>
      </c>
      <c r="J17">
        <f>(HorCap!J17+HorCap!J16)/2</f>
        <v>3</v>
      </c>
      <c r="K17">
        <f>(HorCap!K17+HorCap!K16)/2</f>
        <v>3</v>
      </c>
      <c r="L17">
        <f>(HorCap!L17+HorCap!L16)/2</f>
        <v>3</v>
      </c>
      <c r="M17">
        <f>(HorCap!M17+HorCap!M16)/2</f>
        <v>0</v>
      </c>
    </row>
    <row r="18" spans="3:13" x14ac:dyDescent="0.2">
      <c r="C18">
        <f>(HorCap!C18+HorCap!C17)/2</f>
        <v>3</v>
      </c>
      <c r="D18">
        <f>(HorCap!D18+HorCap!D17)/2</f>
        <v>3</v>
      </c>
      <c r="E18">
        <f>(HorCap!E18+HorCap!E17)/2</f>
        <v>3</v>
      </c>
      <c r="F18">
        <f>(HorCap!F18+HorCap!F17)/2</f>
        <v>3</v>
      </c>
      <c r="G18">
        <f>(HorCap!G18+HorCap!G17)/2</f>
        <v>3</v>
      </c>
      <c r="H18">
        <f>(HorCap!H18+HorCap!H17)/2</f>
        <v>3</v>
      </c>
      <c r="I18">
        <f>(HorCap!I18+HorCap!I17)/2</f>
        <v>3</v>
      </c>
      <c r="J18">
        <f>(HorCap!J18+HorCap!J17)/2</f>
        <v>3</v>
      </c>
      <c r="K18">
        <f>(HorCap!K18+HorCap!K17)/2</f>
        <v>3</v>
      </c>
      <c r="L18">
        <f>(HorCap!L18+HorCap!L17)/2</f>
        <v>3</v>
      </c>
      <c r="M18">
        <f>(HorCap!M18+HorCap!M17)/2</f>
        <v>0</v>
      </c>
    </row>
    <row r="19" spans="3:13" x14ac:dyDescent="0.2">
      <c r="C19">
        <f>(HorCap!C19+HorCap!C18)/2</f>
        <v>3</v>
      </c>
      <c r="D19">
        <f>(HorCap!D19+HorCap!D18)/2</f>
        <v>3</v>
      </c>
      <c r="E19">
        <f>(HorCap!E19+HorCap!E18)/2</f>
        <v>3</v>
      </c>
      <c r="F19">
        <f>(HorCap!F19+HorCap!F18)/2</f>
        <v>3</v>
      </c>
      <c r="G19">
        <f>(HorCap!G19+HorCap!G18)/2</f>
        <v>3</v>
      </c>
      <c r="H19">
        <f>(HorCap!H19+HorCap!H18)/2</f>
        <v>3</v>
      </c>
      <c r="I19">
        <f>(HorCap!I19+HorCap!I18)/2</f>
        <v>3</v>
      </c>
      <c r="J19">
        <f>(HorCap!J19+HorCap!J18)/2</f>
        <v>3</v>
      </c>
      <c r="K19">
        <f>(HorCap!K19+HorCap!K18)/2</f>
        <v>3</v>
      </c>
      <c r="L19">
        <f>(HorCap!L19+HorCap!L18)/2</f>
        <v>3</v>
      </c>
      <c r="M19">
        <f>(HorCap!M19+HorCap!M18)/2</f>
        <v>0</v>
      </c>
    </row>
    <row r="20" spans="3:13" x14ac:dyDescent="0.2">
      <c r="C20">
        <f>(HorCap!C20+HorCap!C19)/2</f>
        <v>1.5</v>
      </c>
      <c r="D20">
        <f>(HorCap!D20+HorCap!D19)/2</f>
        <v>1.5</v>
      </c>
      <c r="E20">
        <f>(HorCap!E20+HorCap!E19)/2</f>
        <v>1.5</v>
      </c>
      <c r="F20">
        <f>(HorCap!F20+HorCap!F19)/2</f>
        <v>1.5</v>
      </c>
      <c r="G20">
        <f>(HorCap!G20+HorCap!G19)/2</f>
        <v>1.5</v>
      </c>
      <c r="H20">
        <f>(HorCap!H20+HorCap!H19)/2</f>
        <v>1.5</v>
      </c>
      <c r="I20">
        <f>(HorCap!I20+HorCap!I19)/2</f>
        <v>1.5</v>
      </c>
      <c r="J20">
        <f>(HorCap!J20+HorCap!J19)/2</f>
        <v>1.5</v>
      </c>
      <c r="K20">
        <f>(HorCap!K20+HorCap!K19)/2</f>
        <v>1.5</v>
      </c>
      <c r="L20">
        <f>(HorCap!L20+HorCap!L19)/2</f>
        <v>1.5</v>
      </c>
      <c r="M20">
        <f>(HorCap!M20+HorCap!M19)/2</f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"/>
  <sheetViews>
    <sheetView workbookViewId="0">
      <selection activeCell="A2" sqref="A2"/>
    </sheetView>
  </sheetViews>
  <sheetFormatPr defaultRowHeight="12.75" x14ac:dyDescent="0.2"/>
  <sheetData>
    <row r="1" spans="1:13" x14ac:dyDescent="0.2">
      <c r="A1" t="s">
        <v>31</v>
      </c>
    </row>
    <row r="10" spans="1:13" x14ac:dyDescent="0.2">
      <c r="C10">
        <f>(VerCap!C10+VerCap!B10)/2</f>
        <v>150</v>
      </c>
      <c r="D10">
        <f>(VerCap!D10+VerCap!C10)/2</f>
        <v>300</v>
      </c>
      <c r="E10">
        <f>(VerCap!E10+VerCap!D10)/2</f>
        <v>300</v>
      </c>
      <c r="F10">
        <f>(VerCap!F10+VerCap!E10)/2</f>
        <v>300</v>
      </c>
      <c r="G10">
        <f>(VerCap!G10+VerCap!F10)/2</f>
        <v>300</v>
      </c>
      <c r="H10">
        <f>(VerCap!H10+VerCap!G10)/2</f>
        <v>300</v>
      </c>
      <c r="I10">
        <f>(VerCap!I10+VerCap!H10)/2</f>
        <v>300</v>
      </c>
      <c r="J10">
        <f>(VerCap!J10+VerCap!I10)/2</f>
        <v>300</v>
      </c>
      <c r="K10">
        <f>(VerCap!K10+VerCap!J10)/2</f>
        <v>300</v>
      </c>
      <c r="L10">
        <f>(VerCap!L10+VerCap!K10)/2</f>
        <v>300</v>
      </c>
      <c r="M10">
        <f>(VerCap!M10+VerCap!L10)/2</f>
        <v>150</v>
      </c>
    </row>
    <row r="11" spans="1:13" x14ac:dyDescent="0.2">
      <c r="C11">
        <f>(VerCap!C11+VerCap!B11)/2</f>
        <v>150</v>
      </c>
      <c r="D11">
        <f>(VerCap!D11+VerCap!C11)/2</f>
        <v>300</v>
      </c>
      <c r="E11">
        <f>(VerCap!E11+VerCap!D11)/2</f>
        <v>300</v>
      </c>
      <c r="F11">
        <f>(VerCap!F11+VerCap!E11)/2</f>
        <v>300</v>
      </c>
      <c r="G11">
        <f>(VerCap!G11+VerCap!F11)/2</f>
        <v>300</v>
      </c>
      <c r="H11">
        <f>(VerCap!H11+VerCap!G11)/2</f>
        <v>300</v>
      </c>
      <c r="I11">
        <f>(VerCap!I11+VerCap!H11)/2</f>
        <v>300</v>
      </c>
      <c r="J11">
        <f>(VerCap!J11+VerCap!I11)/2</f>
        <v>300</v>
      </c>
      <c r="K11">
        <f>(VerCap!K11+VerCap!J11)/2</f>
        <v>300</v>
      </c>
      <c r="L11">
        <f>(VerCap!L11+VerCap!K11)/2</f>
        <v>300</v>
      </c>
      <c r="M11">
        <f>(VerCap!M11+VerCap!L11)/2</f>
        <v>150</v>
      </c>
    </row>
    <row r="12" spans="1:13" x14ac:dyDescent="0.2">
      <c r="C12">
        <f>(VerCap!C12+VerCap!B12)/2</f>
        <v>150</v>
      </c>
      <c r="D12">
        <f>(VerCap!D12+VerCap!C12)/2</f>
        <v>300</v>
      </c>
      <c r="E12">
        <f>(VerCap!E12+VerCap!D12)/2</f>
        <v>300</v>
      </c>
      <c r="F12">
        <f>(VerCap!F12+VerCap!E12)/2</f>
        <v>300</v>
      </c>
      <c r="G12">
        <f>(VerCap!G12+VerCap!F12)/2</f>
        <v>300</v>
      </c>
      <c r="H12">
        <f>(VerCap!H12+VerCap!G12)/2</f>
        <v>300</v>
      </c>
      <c r="I12">
        <f>(VerCap!I12+VerCap!H12)/2</f>
        <v>300</v>
      </c>
      <c r="J12">
        <f>(VerCap!J12+VerCap!I12)/2</f>
        <v>300</v>
      </c>
      <c r="K12">
        <f>(VerCap!K12+VerCap!J12)/2</f>
        <v>300</v>
      </c>
      <c r="L12">
        <f>(VerCap!L12+VerCap!K12)/2</f>
        <v>300</v>
      </c>
      <c r="M12">
        <f>(VerCap!M12+VerCap!L12)/2</f>
        <v>150</v>
      </c>
    </row>
    <row r="13" spans="1:13" x14ac:dyDescent="0.2">
      <c r="C13">
        <f>(VerCap!C13+VerCap!B13)/2</f>
        <v>150</v>
      </c>
      <c r="D13">
        <f>(VerCap!D13+VerCap!C13)/2</f>
        <v>300</v>
      </c>
      <c r="E13">
        <f>(VerCap!E13+VerCap!D13)/2</f>
        <v>300</v>
      </c>
      <c r="F13">
        <f>(VerCap!F13+VerCap!E13)/2</f>
        <v>300</v>
      </c>
      <c r="G13">
        <f>(VerCap!G13+VerCap!F13)/2</f>
        <v>300</v>
      </c>
      <c r="H13">
        <f>(VerCap!H13+VerCap!G13)/2</f>
        <v>300</v>
      </c>
      <c r="I13">
        <f>(VerCap!I13+VerCap!H13)/2</f>
        <v>300</v>
      </c>
      <c r="J13">
        <f>(VerCap!J13+VerCap!I13)/2</f>
        <v>300</v>
      </c>
      <c r="K13">
        <f>(VerCap!K13+VerCap!J13)/2</f>
        <v>300</v>
      </c>
      <c r="L13">
        <f>(VerCap!L13+VerCap!K13)/2</f>
        <v>300</v>
      </c>
      <c r="M13">
        <f>(VerCap!M13+VerCap!L13)/2</f>
        <v>150</v>
      </c>
    </row>
    <row r="14" spans="1:13" x14ac:dyDescent="0.2">
      <c r="C14">
        <f>(VerCap!C14+VerCap!B14)/2</f>
        <v>150</v>
      </c>
      <c r="D14">
        <f>(VerCap!D14+VerCap!C14)/2</f>
        <v>300</v>
      </c>
      <c r="E14">
        <f>(VerCap!E14+VerCap!D14)/2</f>
        <v>300</v>
      </c>
      <c r="F14">
        <f>(VerCap!F14+VerCap!E14)/2</f>
        <v>300</v>
      </c>
      <c r="G14">
        <f>(VerCap!G14+VerCap!F14)/2</f>
        <v>300</v>
      </c>
      <c r="H14">
        <f>(VerCap!H14+VerCap!G14)/2</f>
        <v>300</v>
      </c>
      <c r="I14">
        <f>(VerCap!I14+VerCap!H14)/2</f>
        <v>300</v>
      </c>
      <c r="J14">
        <f>(VerCap!J14+VerCap!I14)/2</f>
        <v>300</v>
      </c>
      <c r="K14">
        <f>(VerCap!K14+VerCap!J14)/2</f>
        <v>300</v>
      </c>
      <c r="L14">
        <f>(VerCap!L14+VerCap!K14)/2</f>
        <v>300</v>
      </c>
      <c r="M14">
        <f>(VerCap!M14+VerCap!L14)/2</f>
        <v>150</v>
      </c>
    </row>
    <row r="15" spans="1:13" x14ac:dyDescent="0.2">
      <c r="C15">
        <f>(VerCap!C15+VerCap!B15)/2</f>
        <v>150</v>
      </c>
      <c r="D15">
        <f>(VerCap!D15+VerCap!C15)/2</f>
        <v>300</v>
      </c>
      <c r="E15">
        <f>(VerCap!E15+VerCap!D15)/2</f>
        <v>300</v>
      </c>
      <c r="F15">
        <f>(VerCap!F15+VerCap!E15)/2</f>
        <v>300</v>
      </c>
      <c r="G15">
        <f>(VerCap!G15+VerCap!F15)/2</f>
        <v>300</v>
      </c>
      <c r="H15">
        <f>(VerCap!H15+VerCap!G15)/2</f>
        <v>300</v>
      </c>
      <c r="I15">
        <f>(VerCap!I15+VerCap!H15)/2</f>
        <v>300</v>
      </c>
      <c r="J15">
        <f>(VerCap!J15+VerCap!I15)/2</f>
        <v>300</v>
      </c>
      <c r="K15">
        <f>(VerCap!K15+VerCap!J15)/2</f>
        <v>300</v>
      </c>
      <c r="L15">
        <f>(VerCap!L15+VerCap!K15)/2</f>
        <v>300</v>
      </c>
      <c r="M15">
        <f>(VerCap!M15+VerCap!L15)/2</f>
        <v>150</v>
      </c>
    </row>
    <row r="16" spans="1:13" x14ac:dyDescent="0.2">
      <c r="C16">
        <f>(VerCap!C16+VerCap!B16)/2</f>
        <v>150</v>
      </c>
      <c r="D16">
        <f>(VerCap!D16+VerCap!C16)/2</f>
        <v>300</v>
      </c>
      <c r="E16">
        <f>(VerCap!E16+VerCap!D16)/2</f>
        <v>300</v>
      </c>
      <c r="F16">
        <f>(VerCap!F16+VerCap!E16)/2</f>
        <v>300</v>
      </c>
      <c r="G16">
        <f>(VerCap!G16+VerCap!F16)/2</f>
        <v>300</v>
      </c>
      <c r="H16">
        <f>(VerCap!H16+VerCap!G16)/2</f>
        <v>300</v>
      </c>
      <c r="I16">
        <f>(VerCap!I16+VerCap!H16)/2</f>
        <v>300</v>
      </c>
      <c r="J16">
        <f>(VerCap!J16+VerCap!I16)/2</f>
        <v>300</v>
      </c>
      <c r="K16">
        <f>(VerCap!K16+VerCap!J16)/2</f>
        <v>300</v>
      </c>
      <c r="L16">
        <f>(VerCap!L16+VerCap!K16)/2</f>
        <v>300</v>
      </c>
      <c r="M16">
        <f>(VerCap!M16+VerCap!L16)/2</f>
        <v>150</v>
      </c>
    </row>
    <row r="17" spans="3:13" x14ac:dyDescent="0.2">
      <c r="C17">
        <f>(VerCap!C17+VerCap!B17)/2</f>
        <v>150</v>
      </c>
      <c r="D17">
        <f>(VerCap!D17+VerCap!C17)/2</f>
        <v>300</v>
      </c>
      <c r="E17">
        <f>(VerCap!E17+VerCap!D17)/2</f>
        <v>300</v>
      </c>
      <c r="F17">
        <f>(VerCap!F17+VerCap!E17)/2</f>
        <v>300</v>
      </c>
      <c r="G17">
        <f>(VerCap!G17+VerCap!F17)/2</f>
        <v>300</v>
      </c>
      <c r="H17">
        <f>(VerCap!H17+VerCap!G17)/2</f>
        <v>300</v>
      </c>
      <c r="I17">
        <f>(VerCap!I17+VerCap!H17)/2</f>
        <v>300</v>
      </c>
      <c r="J17">
        <f>(VerCap!J17+VerCap!I17)/2</f>
        <v>300</v>
      </c>
      <c r="K17">
        <f>(VerCap!K17+VerCap!J17)/2</f>
        <v>300</v>
      </c>
      <c r="L17">
        <f>(VerCap!L17+VerCap!K17)/2</f>
        <v>300</v>
      </c>
      <c r="M17">
        <f>(VerCap!M17+VerCap!L17)/2</f>
        <v>150</v>
      </c>
    </row>
    <row r="18" spans="3:13" x14ac:dyDescent="0.2">
      <c r="C18">
        <f>(VerCap!C18+VerCap!B18)/2</f>
        <v>150</v>
      </c>
      <c r="D18">
        <f>(VerCap!D18+VerCap!C18)/2</f>
        <v>300</v>
      </c>
      <c r="E18">
        <f>(VerCap!E18+VerCap!D18)/2</f>
        <v>300</v>
      </c>
      <c r="F18">
        <f>(VerCap!F18+VerCap!E18)/2</f>
        <v>300</v>
      </c>
      <c r="G18">
        <f>(VerCap!G18+VerCap!F18)/2</f>
        <v>300</v>
      </c>
      <c r="H18">
        <f>(VerCap!H18+VerCap!G18)/2</f>
        <v>300</v>
      </c>
      <c r="I18">
        <f>(VerCap!I18+VerCap!H18)/2</f>
        <v>300</v>
      </c>
      <c r="J18">
        <f>(VerCap!J18+VerCap!I18)/2</f>
        <v>300</v>
      </c>
      <c r="K18">
        <f>(VerCap!K18+VerCap!J18)/2</f>
        <v>300</v>
      </c>
      <c r="L18">
        <f>(VerCap!L18+VerCap!K18)/2</f>
        <v>300</v>
      </c>
      <c r="M18">
        <f>(VerCap!M18+VerCap!L18)/2</f>
        <v>150</v>
      </c>
    </row>
    <row r="19" spans="3:13" x14ac:dyDescent="0.2">
      <c r="C19">
        <f>(VerCap!C19+VerCap!B19)/2</f>
        <v>150</v>
      </c>
      <c r="D19">
        <f>(VerCap!D19+VerCap!C19)/2</f>
        <v>300</v>
      </c>
      <c r="E19">
        <f>(VerCap!E19+VerCap!D19)/2</f>
        <v>300</v>
      </c>
      <c r="F19">
        <f>(VerCap!F19+VerCap!E19)/2</f>
        <v>300</v>
      </c>
      <c r="G19">
        <f>(VerCap!G19+VerCap!F19)/2</f>
        <v>300</v>
      </c>
      <c r="H19">
        <f>(VerCap!H19+VerCap!G19)/2</f>
        <v>300</v>
      </c>
      <c r="I19">
        <f>(VerCap!I19+VerCap!H19)/2</f>
        <v>300</v>
      </c>
      <c r="J19">
        <f>(VerCap!J19+VerCap!I19)/2</f>
        <v>300</v>
      </c>
      <c r="K19">
        <f>(VerCap!K19+VerCap!J19)/2</f>
        <v>300</v>
      </c>
      <c r="L19">
        <f>(VerCap!L19+VerCap!K19)/2</f>
        <v>300</v>
      </c>
      <c r="M19">
        <f>(VerCap!M19+VerCap!L19)/2</f>
        <v>150</v>
      </c>
    </row>
    <row r="20" spans="3:13" x14ac:dyDescent="0.2">
      <c r="C20">
        <f>(VerCap!C20+VerCap!B20)/2</f>
        <v>0</v>
      </c>
      <c r="D20">
        <f>(VerCap!D20+VerCap!C20)/2</f>
        <v>0</v>
      </c>
      <c r="E20">
        <f>(VerCap!E20+VerCap!D20)/2</f>
        <v>0</v>
      </c>
      <c r="F20">
        <f>(VerCap!F20+VerCap!E20)/2</f>
        <v>0</v>
      </c>
      <c r="G20">
        <f>(VerCap!G20+VerCap!F20)/2</f>
        <v>0</v>
      </c>
      <c r="H20">
        <f>(VerCap!H20+VerCap!G20)/2</f>
        <v>0</v>
      </c>
      <c r="I20">
        <f>(VerCap!I20+VerCap!H20)/2</f>
        <v>0</v>
      </c>
      <c r="J20">
        <f>(VerCap!J20+VerCap!I20)/2</f>
        <v>0</v>
      </c>
      <c r="K20">
        <f>(VerCap!K20+VerCap!J20)/2</f>
        <v>0</v>
      </c>
      <c r="L20">
        <f>(VerCap!L20+VerCap!K20)/2</f>
        <v>0</v>
      </c>
      <c r="M20">
        <f>(VerCap!M20+VerCap!L20)/2</f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"/>
  <sheetViews>
    <sheetView workbookViewId="0">
      <selection activeCell="A2" sqref="A2"/>
    </sheetView>
  </sheetViews>
  <sheetFormatPr defaultRowHeight="12.75" x14ac:dyDescent="0.2"/>
  <sheetData>
    <row r="1" spans="1:13" x14ac:dyDescent="0.2">
      <c r="A1" t="s">
        <v>32</v>
      </c>
    </row>
    <row r="10" spans="1:13" x14ac:dyDescent="0.2">
      <c r="C10">
        <f>(HorCap!B9+HorCap!B10)/2</f>
        <v>0</v>
      </c>
      <c r="D10">
        <f>(HorCap!C9+HorCap!C10)/2</f>
        <v>1.5</v>
      </c>
      <c r="E10">
        <f>(HorCap!D9+HorCap!D10)/2</f>
        <v>1.5</v>
      </c>
      <c r="F10">
        <f>(HorCap!E9+HorCap!E10)/2</f>
        <v>1.5</v>
      </c>
      <c r="G10">
        <f>(HorCap!F9+HorCap!F10)/2</f>
        <v>1.5</v>
      </c>
      <c r="H10">
        <f>(HorCap!G9+HorCap!G10)/2</f>
        <v>1.5</v>
      </c>
      <c r="I10">
        <f>(HorCap!H9+HorCap!H10)/2</f>
        <v>1.5</v>
      </c>
      <c r="J10">
        <f>(HorCap!I9+HorCap!I10)/2</f>
        <v>1.5</v>
      </c>
      <c r="K10">
        <f>(HorCap!J9+HorCap!J10)/2</f>
        <v>1.5</v>
      </c>
      <c r="L10">
        <f>(HorCap!K9+HorCap!K10)/2</f>
        <v>1.5</v>
      </c>
      <c r="M10">
        <f>(HorCap!L9+HorCap!L10)/2</f>
        <v>1.5</v>
      </c>
    </row>
    <row r="11" spans="1:13" x14ac:dyDescent="0.2">
      <c r="C11">
        <f>(HorCap!B10+HorCap!B11)/2</f>
        <v>0</v>
      </c>
      <c r="D11">
        <f>(HorCap!C10+HorCap!C11)/2</f>
        <v>3</v>
      </c>
      <c r="E11">
        <f>(HorCap!D10+HorCap!D11)/2</f>
        <v>3</v>
      </c>
      <c r="F11">
        <f>(HorCap!E10+HorCap!E11)/2</f>
        <v>3</v>
      </c>
      <c r="G11">
        <f>(HorCap!F10+HorCap!F11)/2</f>
        <v>3</v>
      </c>
      <c r="H11">
        <f>(HorCap!G10+HorCap!G11)/2</f>
        <v>3</v>
      </c>
      <c r="I11">
        <f>(HorCap!H10+HorCap!H11)/2</f>
        <v>3</v>
      </c>
      <c r="J11">
        <f>(HorCap!I10+HorCap!I11)/2</f>
        <v>3</v>
      </c>
      <c r="K11">
        <f>(HorCap!J10+HorCap!J11)/2</f>
        <v>3</v>
      </c>
      <c r="L11">
        <f>(HorCap!K10+HorCap!K11)/2</f>
        <v>3</v>
      </c>
      <c r="M11">
        <f>(HorCap!L10+HorCap!L11)/2</f>
        <v>3</v>
      </c>
    </row>
    <row r="12" spans="1:13" x14ac:dyDescent="0.2">
      <c r="C12">
        <f>(HorCap!B11+HorCap!B12)/2</f>
        <v>0</v>
      </c>
      <c r="D12">
        <f>(HorCap!C11+HorCap!C12)/2</f>
        <v>3</v>
      </c>
      <c r="E12">
        <f>(HorCap!D11+HorCap!D12)/2</f>
        <v>3</v>
      </c>
      <c r="F12">
        <f>(HorCap!E11+HorCap!E12)/2</f>
        <v>3</v>
      </c>
      <c r="G12">
        <f>(HorCap!F11+HorCap!F12)/2</f>
        <v>3</v>
      </c>
      <c r="H12">
        <f>(HorCap!G11+HorCap!G12)/2</f>
        <v>3</v>
      </c>
      <c r="I12">
        <f>(HorCap!H11+HorCap!H12)/2</f>
        <v>3</v>
      </c>
      <c r="J12">
        <f>(HorCap!I11+HorCap!I12)/2</f>
        <v>3</v>
      </c>
      <c r="K12">
        <f>(HorCap!J11+HorCap!J12)/2</f>
        <v>3</v>
      </c>
      <c r="L12">
        <f>(HorCap!K11+HorCap!K12)/2</f>
        <v>3</v>
      </c>
      <c r="M12">
        <f>(HorCap!L11+HorCap!L12)/2</f>
        <v>3</v>
      </c>
    </row>
    <row r="13" spans="1:13" x14ac:dyDescent="0.2">
      <c r="C13">
        <f>(HorCap!B12+HorCap!B13)/2</f>
        <v>0</v>
      </c>
      <c r="D13">
        <f>(HorCap!C12+HorCap!C13)/2</f>
        <v>3</v>
      </c>
      <c r="E13">
        <f>(HorCap!D12+HorCap!D13)/2</f>
        <v>3</v>
      </c>
      <c r="F13">
        <f>(HorCap!E12+HorCap!E13)/2</f>
        <v>3</v>
      </c>
      <c r="G13">
        <f>(HorCap!F12+HorCap!F13)/2</f>
        <v>3</v>
      </c>
      <c r="H13">
        <f>(HorCap!G12+HorCap!G13)/2</f>
        <v>3</v>
      </c>
      <c r="I13">
        <f>(HorCap!H12+HorCap!H13)/2</f>
        <v>3</v>
      </c>
      <c r="J13">
        <f>(HorCap!I12+HorCap!I13)/2</f>
        <v>3</v>
      </c>
      <c r="K13">
        <f>(HorCap!J12+HorCap!J13)/2</f>
        <v>3</v>
      </c>
      <c r="L13">
        <f>(HorCap!K12+HorCap!K13)/2</f>
        <v>3</v>
      </c>
      <c r="M13">
        <f>(HorCap!L12+HorCap!L13)/2</f>
        <v>3</v>
      </c>
    </row>
    <row r="14" spans="1:13" x14ac:dyDescent="0.2">
      <c r="C14">
        <f>(HorCap!B13+HorCap!B14)/2</f>
        <v>0</v>
      </c>
      <c r="D14">
        <f>(HorCap!C13+HorCap!C14)/2</f>
        <v>3</v>
      </c>
      <c r="E14">
        <f>(HorCap!D13+HorCap!D14)/2</f>
        <v>3</v>
      </c>
      <c r="F14">
        <f>(HorCap!E13+HorCap!E14)/2</f>
        <v>3</v>
      </c>
      <c r="G14">
        <f>(HorCap!F13+HorCap!F14)/2</f>
        <v>3</v>
      </c>
      <c r="H14">
        <f>(HorCap!G13+HorCap!G14)/2</f>
        <v>3</v>
      </c>
      <c r="I14">
        <f>(HorCap!H13+HorCap!H14)/2</f>
        <v>3</v>
      </c>
      <c r="J14">
        <f>(HorCap!I13+HorCap!I14)/2</f>
        <v>3</v>
      </c>
      <c r="K14">
        <f>(HorCap!J13+HorCap!J14)/2</f>
        <v>3</v>
      </c>
      <c r="L14">
        <f>(HorCap!K13+HorCap!K14)/2</f>
        <v>3</v>
      </c>
      <c r="M14">
        <f>(HorCap!L13+HorCap!L14)/2</f>
        <v>3</v>
      </c>
    </row>
    <row r="15" spans="1:13" x14ac:dyDescent="0.2">
      <c r="C15">
        <f>(HorCap!B14+HorCap!B15)/2</f>
        <v>0</v>
      </c>
      <c r="D15">
        <f>(HorCap!C14+HorCap!C15)/2</f>
        <v>3</v>
      </c>
      <c r="E15">
        <f>(HorCap!D14+HorCap!D15)/2</f>
        <v>3</v>
      </c>
      <c r="F15">
        <f>(HorCap!E14+HorCap!E15)/2</f>
        <v>3</v>
      </c>
      <c r="G15">
        <f>(HorCap!F14+HorCap!F15)/2</f>
        <v>3</v>
      </c>
      <c r="H15">
        <f>(HorCap!G14+HorCap!G15)/2</f>
        <v>3</v>
      </c>
      <c r="I15">
        <f>(HorCap!H14+HorCap!H15)/2</f>
        <v>3</v>
      </c>
      <c r="J15">
        <f>(HorCap!I14+HorCap!I15)/2</f>
        <v>3</v>
      </c>
      <c r="K15">
        <f>(HorCap!J14+HorCap!J15)/2</f>
        <v>3</v>
      </c>
      <c r="L15">
        <f>(HorCap!K14+HorCap!K15)/2</f>
        <v>3</v>
      </c>
      <c r="M15">
        <f>(HorCap!L14+HorCap!L15)/2</f>
        <v>3</v>
      </c>
    </row>
    <row r="16" spans="1:13" x14ac:dyDescent="0.2">
      <c r="C16">
        <f>(HorCap!B15+HorCap!B16)/2</f>
        <v>0</v>
      </c>
      <c r="D16">
        <f>(HorCap!C15+HorCap!C16)/2</f>
        <v>3</v>
      </c>
      <c r="E16">
        <f>(HorCap!D15+HorCap!D16)/2</f>
        <v>3</v>
      </c>
      <c r="F16">
        <f>(HorCap!E15+HorCap!E16)/2</f>
        <v>3</v>
      </c>
      <c r="G16">
        <f>(HorCap!F15+HorCap!F16)/2</f>
        <v>3</v>
      </c>
      <c r="H16">
        <f>(HorCap!G15+HorCap!G16)/2</f>
        <v>3</v>
      </c>
      <c r="I16">
        <f>(HorCap!H15+HorCap!H16)/2</f>
        <v>3</v>
      </c>
      <c r="J16">
        <f>(HorCap!I15+HorCap!I16)/2</f>
        <v>3</v>
      </c>
      <c r="K16">
        <f>(HorCap!J15+HorCap!J16)/2</f>
        <v>3</v>
      </c>
      <c r="L16">
        <f>(HorCap!K15+HorCap!K16)/2</f>
        <v>3</v>
      </c>
      <c r="M16">
        <f>(HorCap!L15+HorCap!L16)/2</f>
        <v>3</v>
      </c>
    </row>
    <row r="17" spans="3:13" x14ac:dyDescent="0.2">
      <c r="C17">
        <f>(HorCap!B16+HorCap!B17)/2</f>
        <v>0</v>
      </c>
      <c r="D17">
        <f>(HorCap!C16+HorCap!C17)/2</f>
        <v>3</v>
      </c>
      <c r="E17">
        <f>(HorCap!D16+HorCap!D17)/2</f>
        <v>3</v>
      </c>
      <c r="F17">
        <f>(HorCap!E16+HorCap!E17)/2</f>
        <v>3</v>
      </c>
      <c r="G17">
        <f>(HorCap!F16+HorCap!F17)/2</f>
        <v>3</v>
      </c>
      <c r="H17">
        <f>(HorCap!G16+HorCap!G17)/2</f>
        <v>3</v>
      </c>
      <c r="I17">
        <f>(HorCap!H16+HorCap!H17)/2</f>
        <v>3</v>
      </c>
      <c r="J17">
        <f>(HorCap!I16+HorCap!I17)/2</f>
        <v>3</v>
      </c>
      <c r="K17">
        <f>(HorCap!J16+HorCap!J17)/2</f>
        <v>3</v>
      </c>
      <c r="L17">
        <f>(HorCap!K16+HorCap!K17)/2</f>
        <v>3</v>
      </c>
      <c r="M17">
        <f>(HorCap!L16+HorCap!L17)/2</f>
        <v>3</v>
      </c>
    </row>
    <row r="18" spans="3:13" x14ac:dyDescent="0.2">
      <c r="C18">
        <f>(HorCap!B17+HorCap!B18)/2</f>
        <v>0</v>
      </c>
      <c r="D18">
        <f>(HorCap!C17+HorCap!C18)/2</f>
        <v>3</v>
      </c>
      <c r="E18">
        <f>(HorCap!D17+HorCap!D18)/2</f>
        <v>3</v>
      </c>
      <c r="F18">
        <f>(HorCap!E17+HorCap!E18)/2</f>
        <v>3</v>
      </c>
      <c r="G18">
        <f>(HorCap!F17+HorCap!F18)/2</f>
        <v>3</v>
      </c>
      <c r="H18">
        <f>(HorCap!G17+HorCap!G18)/2</f>
        <v>3</v>
      </c>
      <c r="I18">
        <f>(HorCap!H17+HorCap!H18)/2</f>
        <v>3</v>
      </c>
      <c r="J18">
        <f>(HorCap!I17+HorCap!I18)/2</f>
        <v>3</v>
      </c>
      <c r="K18">
        <f>(HorCap!J17+HorCap!J18)/2</f>
        <v>3</v>
      </c>
      <c r="L18">
        <f>(HorCap!K17+HorCap!K18)/2</f>
        <v>3</v>
      </c>
      <c r="M18">
        <f>(HorCap!L17+HorCap!L18)/2</f>
        <v>3</v>
      </c>
    </row>
    <row r="19" spans="3:13" x14ac:dyDescent="0.2">
      <c r="C19">
        <f>(HorCap!B18+HorCap!B19)/2</f>
        <v>0</v>
      </c>
      <c r="D19">
        <f>(HorCap!C18+HorCap!C19)/2</f>
        <v>3</v>
      </c>
      <c r="E19">
        <f>(HorCap!D18+HorCap!D19)/2</f>
        <v>3</v>
      </c>
      <c r="F19">
        <f>(HorCap!E18+HorCap!E19)/2</f>
        <v>3</v>
      </c>
      <c r="G19">
        <f>(HorCap!F18+HorCap!F19)/2</f>
        <v>3</v>
      </c>
      <c r="H19">
        <f>(HorCap!G18+HorCap!G19)/2</f>
        <v>3</v>
      </c>
      <c r="I19">
        <f>(HorCap!H18+HorCap!H19)/2</f>
        <v>3</v>
      </c>
      <c r="J19">
        <f>(HorCap!I18+HorCap!I19)/2</f>
        <v>3</v>
      </c>
      <c r="K19">
        <f>(HorCap!J18+HorCap!J19)/2</f>
        <v>3</v>
      </c>
      <c r="L19">
        <f>(HorCap!K18+HorCap!K19)/2</f>
        <v>3</v>
      </c>
      <c r="M19">
        <f>(HorCap!L18+HorCap!L19)/2</f>
        <v>3</v>
      </c>
    </row>
    <row r="20" spans="3:13" x14ac:dyDescent="0.2">
      <c r="C20">
        <f>(HorCap!B19+HorCap!B20)/2</f>
        <v>0</v>
      </c>
      <c r="D20">
        <f>(HorCap!C19+HorCap!C20)/2</f>
        <v>1.5</v>
      </c>
      <c r="E20">
        <f>(HorCap!D19+HorCap!D20)/2</f>
        <v>1.5</v>
      </c>
      <c r="F20">
        <f>(HorCap!E19+HorCap!E20)/2</f>
        <v>1.5</v>
      </c>
      <c r="G20">
        <f>(HorCap!F19+HorCap!F20)/2</f>
        <v>1.5</v>
      </c>
      <c r="H20">
        <f>(HorCap!G19+HorCap!G20)/2</f>
        <v>1.5</v>
      </c>
      <c r="I20">
        <f>(HorCap!H19+HorCap!H20)/2</f>
        <v>1.5</v>
      </c>
      <c r="J20">
        <f>(HorCap!I19+HorCap!I20)/2</f>
        <v>1.5</v>
      </c>
      <c r="K20">
        <f>(HorCap!J19+HorCap!J20)/2</f>
        <v>1.5</v>
      </c>
      <c r="L20">
        <f>(HorCap!K19+HorCap!K20)/2</f>
        <v>1.5</v>
      </c>
      <c r="M20">
        <f>(HorCap!L19+HorCap!L20)/2</f>
        <v>1.5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M20"/>
  <sheetViews>
    <sheetView workbookViewId="0">
      <selection activeCell="B3" sqref="B3"/>
    </sheetView>
  </sheetViews>
  <sheetFormatPr defaultRowHeight="12.75" x14ac:dyDescent="0.2"/>
  <sheetData>
    <row r="2" spans="2:13" x14ac:dyDescent="0.2">
      <c r="B2" t="s">
        <v>30</v>
      </c>
    </row>
    <row r="10" spans="2:13" x14ac:dyDescent="0.2">
      <c r="C10">
        <f>west!C10*(H!B10-H!C10)</f>
        <v>0</v>
      </c>
      <c r="D10">
        <f ca="1">west!D10*(H!C10-H!D10)</f>
        <v>-0.26275580818424693</v>
      </c>
      <c r="E10">
        <f ca="1">west!E10*(H!D10-H!E10)</f>
        <v>-0.38859766134049245</v>
      </c>
      <c r="F10">
        <f ca="1">west!F10*(H!E10-H!F10)</f>
        <v>-0.4352987523282974</v>
      </c>
      <c r="G10">
        <f ca="1">west!G10*(H!F10-H!G10)</f>
        <v>-0.44646308234295473</v>
      </c>
      <c r="H10">
        <f ca="1">west!H10*(H!G10-H!H10)</f>
        <v>-0.44895043124358436</v>
      </c>
      <c r="I10">
        <f ca="1">west!I10*(H!H10-H!I10)</f>
        <v>-0.44914537409570654</v>
      </c>
      <c r="J10">
        <f ca="1">west!J10*(H!I10-H!J10)</f>
        <v>-0.44755010652601568</v>
      </c>
      <c r="K10">
        <f ca="1">west!K10*(H!J10-H!K10)</f>
        <v>-0.44003930717926698</v>
      </c>
      <c r="L10">
        <f ca="1">west!L10*(H!K10-H!L10)</f>
        <v>-0.4072382141616675</v>
      </c>
      <c r="M10">
        <f ca="1">west!M10*(H!L10-H!M10)</f>
        <v>-0.26639237549465822</v>
      </c>
    </row>
    <row r="11" spans="2:13" x14ac:dyDescent="0.2">
      <c r="C11">
        <f>west!C11*(H!B11-H!C11)</f>
        <v>0</v>
      </c>
      <c r="D11">
        <f ca="1">west!D11*(H!C11-H!D11)</f>
        <v>-0.50925325374778474</v>
      </c>
      <c r="E11">
        <f ca="1">west!E11*(H!D11-H!E11)</f>
        <v>-0.77798676696526758</v>
      </c>
      <c r="F11">
        <f ca="1">west!F11*(H!E11-H!F11)</f>
        <v>-0.87095287020995205</v>
      </c>
      <c r="G11">
        <f ca="1">west!G11*(H!F11-H!G11)</f>
        <v>-0.89301291677693762</v>
      </c>
      <c r="H11">
        <f ca="1">west!H11*(H!G11-H!H11)</f>
        <v>-0.89792379772732911</v>
      </c>
      <c r="I11">
        <f ca="1">west!I11*(H!H11-H!I11)</f>
        <v>-0.89830868767588168</v>
      </c>
      <c r="J11">
        <f ca="1">west!J11*(H!I11-H!J11)</f>
        <v>-0.89515925733828094</v>
      </c>
      <c r="K11">
        <f ca="1">west!K11*(H!J11-H!K11)</f>
        <v>-0.88033149745689432</v>
      </c>
      <c r="L11">
        <f ca="1">west!L11*(H!K11-H!L11)</f>
        <v>-0.81555688487787492</v>
      </c>
      <c r="M11">
        <f ca="1">west!M11*(H!L11-H!M11)</f>
        <v>-0.53670449033549161</v>
      </c>
    </row>
    <row r="12" spans="2:13" x14ac:dyDescent="0.2">
      <c r="C12">
        <f>west!C12*(H!B12-H!C12)</f>
        <v>0</v>
      </c>
      <c r="D12">
        <f ca="1">west!D12*(H!C12-H!D12)</f>
        <v>-0.46030754361089254</v>
      </c>
      <c r="E12">
        <f ca="1">west!E12*(H!D12-H!E12)</f>
        <v>-0.78053583403803284</v>
      </c>
      <c r="F12">
        <f ca="1">west!F12*(H!E12-H!F12)</f>
        <v>-0.87201721470853055</v>
      </c>
      <c r="G12">
        <f ca="1">west!G12*(H!F12-H!G12)</f>
        <v>-0.89327111542168502</v>
      </c>
      <c r="H12">
        <f ca="1">west!H12*(H!G12-H!H12)</f>
        <v>-0.89799202987615079</v>
      </c>
      <c r="I12">
        <f ca="1">west!I12*(H!H12-H!I12)</f>
        <v>-0.89836194191382646</v>
      </c>
      <c r="J12">
        <f ca="1">west!J12*(H!I12-H!J12)</f>
        <v>-0.89533513617413352</v>
      </c>
      <c r="K12">
        <f ca="1">west!K12*(H!J12-H!K12)</f>
        <v>-0.88108387771552277</v>
      </c>
      <c r="L12">
        <f ca="1">west!L12*(H!K12-H!L12)</f>
        <v>-0.8187783432609983</v>
      </c>
      <c r="M12">
        <f ca="1">west!M12*(H!L12-H!M12)</f>
        <v>-0.54856928016528883</v>
      </c>
    </row>
    <row r="13" spans="2:13" x14ac:dyDescent="0.2">
      <c r="C13">
        <f>west!C13*(H!B13-H!C13)</f>
        <v>0</v>
      </c>
      <c r="D13">
        <f ca="1">west!D13*(H!C13-H!D13)</f>
        <v>-0.37815950550079247</v>
      </c>
      <c r="E13">
        <f ca="1">west!E13*(H!D13-H!E13)</f>
        <v>-0.78537238819267685</v>
      </c>
      <c r="F13">
        <f ca="1">west!F13*(H!E13-H!F13)</f>
        <v>-0.87378383594550346</v>
      </c>
      <c r="G13">
        <f ca="1">west!G13*(H!F13-H!G13)</f>
        <v>-0.89369462211764539</v>
      </c>
      <c r="H13">
        <f ca="1">west!H13*(H!G13-H!H13)</f>
        <v>-0.89810374586489061</v>
      </c>
      <c r="I13">
        <f ca="1">west!I13*(H!H13-H!I13)</f>
        <v>-0.89844913918147817</v>
      </c>
      <c r="J13">
        <f ca="1">west!J13*(H!I13-H!J13)</f>
        <v>-0.8956233028655145</v>
      </c>
      <c r="K13">
        <f ca="1">west!K13*(H!J13-H!K13)</f>
        <v>-0.88231693739621964</v>
      </c>
      <c r="L13">
        <f ca="1">west!L13*(H!K13-H!L13)</f>
        <v>-0.82407850114775805</v>
      </c>
      <c r="M13">
        <f ca="1">west!M13*(H!L13-H!M13)</f>
        <v>-0.56870357374490332</v>
      </c>
    </row>
    <row r="14" spans="2:13" x14ac:dyDescent="0.2">
      <c r="C14">
        <f>west!C14*(H!B14-H!C14)</f>
        <v>0</v>
      </c>
      <c r="D14">
        <f ca="1">west!D14*(H!C14-H!D14)</f>
        <v>-0.26193933230913746</v>
      </c>
      <c r="E14">
        <f ca="1">west!E14*(H!D14-H!E14)</f>
        <v>-0.79339699378808248</v>
      </c>
      <c r="F14">
        <f ca="1">west!F14*(H!E14-H!F14)</f>
        <v>-0.87623555361072292</v>
      </c>
      <c r="G14">
        <f ca="1">west!G14*(H!F14-H!G14)</f>
        <v>-0.89427321354162803</v>
      </c>
      <c r="H14">
        <f ca="1">west!H14*(H!G14-H!H14)</f>
        <v>-0.89825610223829333</v>
      </c>
      <c r="I14">
        <f ca="1">west!I14*(H!H14-H!I14)</f>
        <v>-0.89856805137781581</v>
      </c>
      <c r="J14">
        <f ca="1">west!J14*(H!I14-H!J14)</f>
        <v>-0.8960163531274441</v>
      </c>
      <c r="K14">
        <f ca="1">west!K14*(H!J14-H!K14)</f>
        <v>-0.88399913790473139</v>
      </c>
      <c r="L14">
        <f ca="1">west!L14*(H!K14-H!L14)</f>
        <v>-0.83135017012537382</v>
      </c>
      <c r="M14">
        <f ca="1">west!M14*(H!L14-H!M14)</f>
        <v>-0.59765837152736978</v>
      </c>
    </row>
    <row r="15" spans="2:13" x14ac:dyDescent="0.2">
      <c r="C15">
        <f>west!C15*(H!B15-H!C15)</f>
        <v>0</v>
      </c>
      <c r="D15">
        <f ca="1">west!D15*(H!C15-H!D15)</f>
        <v>-0.11040458867905656</v>
      </c>
      <c r="E15">
        <f ca="1">west!E15*(H!D15-H!E15)</f>
        <v>-0.80590776178809342</v>
      </c>
      <c r="F15">
        <f ca="1">west!F15*(H!E15-H!F15)</f>
        <v>-0.8793352659642073</v>
      </c>
      <c r="G15">
        <f ca="1">west!G15*(H!F15-H!G15)</f>
        <v>-0.89499238918092239</v>
      </c>
      <c r="H15">
        <f ca="1">west!H15*(H!G15-H!H15)</f>
        <v>-0.89844518839428744</v>
      </c>
      <c r="I15">
        <f ca="1">west!I15*(H!H15-H!I15)</f>
        <v>-0.89871564927560499</v>
      </c>
      <c r="J15">
        <f ca="1">west!J15*(H!I15-H!J15)</f>
        <v>-0.89650397602666843</v>
      </c>
      <c r="K15">
        <f ca="1">west!K15*(H!J15-H!K15)</f>
        <v>-0.88608767627510243</v>
      </c>
      <c r="L15">
        <f ca="1">west!L15*(H!K15-H!L15)</f>
        <v>-0.84043249075699755</v>
      </c>
      <c r="M15">
        <f ca="1">west!M15*(H!L15-H!M15)</f>
        <v>-0.63622916142043096</v>
      </c>
    </row>
    <row r="16" spans="2:13" x14ac:dyDescent="0.2">
      <c r="C16">
        <f>west!C16*(H!B16-H!C16)</f>
        <v>0</v>
      </c>
      <c r="D16">
        <f ca="1">west!D16*(H!C16-H!D16)</f>
        <v>-0.26193936771321713</v>
      </c>
      <c r="E16">
        <f ca="1">west!E16*(H!D16-H!E16)</f>
        <v>-0.79339703087773117</v>
      </c>
      <c r="F16">
        <f ca="1">west!F16*(H!E16-H!F16)</f>
        <v>-0.87623555620118942</v>
      </c>
      <c r="G16">
        <f ca="1">west!G16*(H!F16-H!G16)</f>
        <v>-0.89427322750323857</v>
      </c>
      <c r="H16">
        <f ca="1">west!H16*(H!G16-H!H16)</f>
        <v>-0.89825614612153704</v>
      </c>
      <c r="I16">
        <f ca="1">west!I16*(H!H16-H!I16)</f>
        <v>-0.89856811411060811</v>
      </c>
      <c r="J16">
        <f ca="1">west!J16*(H!I16-H!J16)</f>
        <v>-0.89601625913815308</v>
      </c>
      <c r="K16">
        <f ca="1">west!K16*(H!J16-H!K16)</f>
        <v>-0.8839991002744938</v>
      </c>
      <c r="L16">
        <f ca="1">west!L16*(H!K16-H!L16)</f>
        <v>-0.83135041855427794</v>
      </c>
      <c r="M16">
        <f ca="1">west!M16*(H!L16-H!M16)</f>
        <v>-0.59765858388194637</v>
      </c>
    </row>
    <row r="17" spans="3:13" x14ac:dyDescent="0.2">
      <c r="C17">
        <f>west!C17*(H!B17-H!C17)</f>
        <v>0</v>
      </c>
      <c r="D17">
        <f ca="1">west!D17*(H!C17-H!D17)</f>
        <v>-0.37815956141824447</v>
      </c>
      <c r="E17">
        <f ca="1">west!E17*(H!D17-H!E17)</f>
        <v>-0.78537245097549313</v>
      </c>
      <c r="F17">
        <f ca="1">west!F17*(H!E17-H!F17)</f>
        <v>-0.87378379497638203</v>
      </c>
      <c r="G17">
        <f ca="1">west!G17*(H!F17-H!G17)</f>
        <v>-0.89369458067123642</v>
      </c>
      <c r="H17">
        <f ca="1">west!H17*(H!G17-H!H17)</f>
        <v>-0.89810383681140493</v>
      </c>
      <c r="I17">
        <f ca="1">west!I17*(H!H17-H!I17)</f>
        <v>-0.89844919097956666</v>
      </c>
      <c r="J17">
        <f ca="1">west!J17*(H!I17-H!J17)</f>
        <v>-0.89562324107824587</v>
      </c>
      <c r="K17">
        <f ca="1">west!K17*(H!J17-H!K17)</f>
        <v>-0.88231686276387133</v>
      </c>
      <c r="L17">
        <f ca="1">west!L17*(H!K17-H!L17)</f>
        <v>-0.82407895280088361</v>
      </c>
      <c r="M17">
        <f ca="1">west!M17*(H!L17-H!M17)</f>
        <v>-0.5687038543115559</v>
      </c>
    </row>
    <row r="18" spans="3:13" x14ac:dyDescent="0.2">
      <c r="C18">
        <f>west!C18*(H!B18-H!C18)</f>
        <v>0</v>
      </c>
      <c r="D18">
        <f ca="1">west!D18*(H!C18-H!D18)</f>
        <v>-0.46030759181006253</v>
      </c>
      <c r="E18">
        <f ca="1">west!E18*(H!D18-H!E18)</f>
        <v>-0.78053589585277816</v>
      </c>
      <c r="F18">
        <f ca="1">west!F18*(H!E18-H!F18)</f>
        <v>-0.8720170445958626</v>
      </c>
      <c r="G18">
        <f ca="1">west!G18*(H!F18-H!G18)</f>
        <v>-0.89327093769663968</v>
      </c>
      <c r="H18">
        <f ca="1">west!H18*(H!G18-H!H18)</f>
        <v>-0.89799213980696457</v>
      </c>
      <c r="I18">
        <f ca="1">west!I18*(H!H18-H!I18)</f>
        <v>-0.89836196106052668</v>
      </c>
      <c r="J18">
        <f ca="1">west!J18*(H!I18-H!J18)</f>
        <v>-0.89533506348825487</v>
      </c>
      <c r="K18">
        <f ca="1">west!K18*(H!J18-H!K18)</f>
        <v>-0.88108405175369064</v>
      </c>
      <c r="L18">
        <f ca="1">west!L18*(H!K18-H!L18)</f>
        <v>-0.81877859272368347</v>
      </c>
      <c r="M18">
        <f ca="1">west!M18*(H!L18-H!M18)</f>
        <v>-0.5485696056078897</v>
      </c>
    </row>
    <row r="19" spans="3:13" x14ac:dyDescent="0.2">
      <c r="C19">
        <f>west!C19*(H!B19-H!C19)</f>
        <v>0</v>
      </c>
      <c r="D19">
        <f ca="1">west!D19*(H!C19-H!D19)</f>
        <v>-0.5092533350394568</v>
      </c>
      <c r="E19">
        <f ca="1">west!E19*(H!D19-H!E19)</f>
        <v>-0.77798683489215303</v>
      </c>
      <c r="F19">
        <f ca="1">west!F19*(H!E19-H!F19)</f>
        <v>-0.87095263670537904</v>
      </c>
      <c r="G19">
        <f ca="1">west!G19*(H!F19-H!G19)</f>
        <v>-0.89301267936029127</v>
      </c>
      <c r="H19">
        <f ca="1">west!H19*(H!G19-H!H19)</f>
        <v>-0.89792395532706504</v>
      </c>
      <c r="I19">
        <f ca="1">west!I19*(H!H19-H!I19)</f>
        <v>-0.89830870161936804</v>
      </c>
      <c r="J19">
        <f ca="1">west!J19*(H!I19-H!J19)</f>
        <v>-0.89515919117716436</v>
      </c>
      <c r="K19">
        <f ca="1">west!K19*(H!J19-H!K19)</f>
        <v>-0.88033164459590996</v>
      </c>
      <c r="L19">
        <f ca="1">west!L19*(H!K19-H!L19)</f>
        <v>-0.81555737932033523</v>
      </c>
      <c r="M19">
        <f ca="1">west!M19*(H!L19-H!M19)</f>
        <v>-0.53670479737992416</v>
      </c>
    </row>
    <row r="20" spans="3:13" x14ac:dyDescent="0.2">
      <c r="C20">
        <f>west!C20*(H!B20-H!C20)</f>
        <v>0</v>
      </c>
      <c r="D20">
        <f ca="1">west!D20*(H!C20-H!D20)</f>
        <v>-0.26275587484281093</v>
      </c>
      <c r="E20">
        <f ca="1">west!E20*(H!D20-H!E20)</f>
        <v>-0.38859771350418049</v>
      </c>
      <c r="F20">
        <f ca="1">west!F20*(H!E20-H!F20)</f>
        <v>-0.43529863777514111</v>
      </c>
      <c r="G20">
        <f ca="1">west!G20*(H!F20-H!G20)</f>
        <v>-0.4464629689488806</v>
      </c>
      <c r="H20">
        <f ca="1">west!H20*(H!G20-H!H20)</f>
        <v>-0.44895052459984175</v>
      </c>
      <c r="I20">
        <f ca="1">west!I20*(H!H20-H!I20)</f>
        <v>-0.44914541289817178</v>
      </c>
      <c r="J20">
        <f ca="1">west!J20*(H!I20-H!J20)</f>
        <v>-0.44755001729721533</v>
      </c>
      <c r="K20">
        <f ca="1">west!K20*(H!J20-H!K20)</f>
        <v>-0.44003936281098088</v>
      </c>
      <c r="L20">
        <f ca="1">west!L20*(H!K20-H!L20)</f>
        <v>-0.40723855782632157</v>
      </c>
      <c r="M20">
        <f ca="1">west!M20*(H!L20-H!M20)</f>
        <v>-0.26639268149182715</v>
      </c>
    </row>
  </sheetData>
  <phoneticPr fontId="0" type="noConversion"/>
  <conditionalFormatting sqref="C10:W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DDF9-F3F0-4406-9D63-6D432361925F}">
  <dimension ref="B2:M20"/>
  <sheetViews>
    <sheetView workbookViewId="0">
      <selection activeCell="C10" sqref="C10:M20"/>
    </sheetView>
  </sheetViews>
  <sheetFormatPr defaultRowHeight="12.75" x14ac:dyDescent="0.2"/>
  <sheetData>
    <row r="2" spans="2:13" x14ac:dyDescent="0.2">
      <c r="B2" t="s">
        <v>29</v>
      </c>
    </row>
    <row r="10" spans="2:13" x14ac:dyDescent="0.2">
      <c r="C10">
        <f>north!C10*(H!C9-H!C10)</f>
        <v>0</v>
      </c>
      <c r="D10">
        <f ca="1">north!D10*(H!D9-H!D10)</f>
        <v>0</v>
      </c>
      <c r="E10">
        <f ca="1">north!E10*(H!E9-H!E10)</f>
        <v>0</v>
      </c>
      <c r="F10">
        <f ca="1">north!F10*(H!F9-H!F10)</f>
        <v>0</v>
      </c>
      <c r="G10">
        <f ca="1">north!G10*(H!G9-H!G10)</f>
        <v>0</v>
      </c>
      <c r="H10">
        <f ca="1">north!H10*(H!H9-H!H10)</f>
        <v>0</v>
      </c>
      <c r="I10">
        <f ca="1">north!I10*(H!I9-H!I10)</f>
        <v>0</v>
      </c>
      <c r="J10">
        <f ca="1">north!J10*(H!J9-H!J10)</f>
        <v>0</v>
      </c>
      <c r="K10">
        <f ca="1">north!K10*(H!K9-H!K10)</f>
        <v>0</v>
      </c>
      <c r="L10">
        <f ca="1">north!L10*(H!L9-H!L10)</f>
        <v>0</v>
      </c>
      <c r="M10">
        <f ca="1">north!M10*(H!M9-H!M10)</f>
        <v>0</v>
      </c>
    </row>
    <row r="11" spans="2:13" x14ac:dyDescent="0.2">
      <c r="C11">
        <f>north!C11*(H!C10-H!C11)</f>
        <v>0</v>
      </c>
      <c r="D11">
        <f ca="1">north!D11*(H!D10-H!D11)</f>
        <v>1.6258362620709121</v>
      </c>
      <c r="E11">
        <f ca="1">north!E11*(H!E10-H!E11)</f>
        <v>1.5466918336426438</v>
      </c>
      <c r="F11">
        <f ca="1">north!F11*(H!F10-H!F11)</f>
        <v>1.5111552783069193</v>
      </c>
      <c r="G11">
        <f ca="1">north!G11*(H!G10-H!G11)</f>
        <v>1.502480069204104</v>
      </c>
      <c r="H11">
        <f ca="1">north!H11*(H!H10-H!H11)</f>
        <v>1.5001865451880647</v>
      </c>
      <c r="I11">
        <f ca="1">north!I11*(H!I10-H!I11)</f>
        <v>1.4983925967412048</v>
      </c>
      <c r="J11">
        <f ca="1">north!J11*(H!J10-H!J11)</f>
        <v>1.4924881681162461</v>
      </c>
      <c r="K11">
        <f ca="1">north!K11*(H!K10-H!K11)</f>
        <v>1.4671998582802104</v>
      </c>
      <c r="L11">
        <f ca="1">north!L11*(H!L10-H!L11)</f>
        <v>1.3591542028262182</v>
      </c>
      <c r="M11">
        <f ca="1">north!M11*(H!M10-H!M11)</f>
        <v>0.48359013410435026</v>
      </c>
    </row>
    <row r="12" spans="2:13" x14ac:dyDescent="0.2">
      <c r="C12">
        <f>north!C12*(H!C11-H!C12)</f>
        <v>0</v>
      </c>
      <c r="D12">
        <f ca="1">north!D12*(H!D11-H!D12)</f>
        <v>4.8945710136892195</v>
      </c>
      <c r="E12">
        <f ca="1">north!E12*(H!E11-H!E12)</f>
        <v>4.6396643064126941</v>
      </c>
      <c r="F12">
        <f ca="1">north!F12*(H!F11-H!F12)</f>
        <v>4.5332298565548435</v>
      </c>
      <c r="G12">
        <f ca="1">north!G12*(H!G11-H!G12)</f>
        <v>4.5074099920801025</v>
      </c>
      <c r="H12">
        <f ca="1">north!H12*(H!H11-H!H12)</f>
        <v>4.5005867771979347</v>
      </c>
      <c r="I12">
        <f ca="1">north!I12*(H!I11-H!I12)</f>
        <v>4.4952613534034569</v>
      </c>
      <c r="J12">
        <f ca="1">north!J12*(H!J11-H!J12)</f>
        <v>4.4776734698181997</v>
      </c>
      <c r="K12">
        <f ca="1">north!K12*(H!K11-H!K12)</f>
        <v>4.4024354439553548</v>
      </c>
      <c r="L12">
        <f ca="1">north!L12*(H!L11-H!L12)</f>
        <v>4.0802896056430171</v>
      </c>
      <c r="M12">
        <f ca="1">north!M12*(H!M11-H!M12)</f>
        <v>1.4469053113316477</v>
      </c>
    </row>
    <row r="13" spans="2:13" x14ac:dyDescent="0.2">
      <c r="C13">
        <f>north!C13*(H!C12-H!C13)</f>
        <v>0</v>
      </c>
      <c r="D13">
        <f ca="1">north!D13*(H!D12-H!D13)</f>
        <v>8.2148038110100075</v>
      </c>
      <c r="E13">
        <f ca="1">north!E13*(H!E12-H!E13)</f>
        <v>7.7311483955456062</v>
      </c>
      <c r="F13">
        <f ca="1">north!F13*(H!F12-H!F13)</f>
        <v>7.5544862718483152</v>
      </c>
      <c r="G13">
        <f ca="1">north!G13*(H!G12-H!G13)</f>
        <v>7.5121356022522789</v>
      </c>
      <c r="H13">
        <f ca="1">north!H13*(H!H12-H!H13)</f>
        <v>7.5009640033782965</v>
      </c>
      <c r="I13">
        <f ca="1">north!I13*(H!I12-H!I13)</f>
        <v>7.4922442766131248</v>
      </c>
      <c r="J13">
        <f ca="1">north!J13*(H!J12-H!J13)</f>
        <v>7.4634276074750261</v>
      </c>
      <c r="K13">
        <f ca="1">north!K13*(H!K12-H!K13)</f>
        <v>7.3401216394053392</v>
      </c>
      <c r="L13">
        <f ca="1">north!L13*(H!L12-H!L13)</f>
        <v>6.8101058507293644</v>
      </c>
      <c r="M13">
        <f ca="1">north!M13*(H!M12-H!M13)</f>
        <v>2.3983382463839575</v>
      </c>
    </row>
    <row r="14" spans="2:13" x14ac:dyDescent="0.2">
      <c r="C14">
        <f>north!C14*(H!C13-H!C14)</f>
        <v>0</v>
      </c>
      <c r="D14">
        <f ca="1">north!D14*(H!D13-H!D14)</f>
        <v>11.622017319165501</v>
      </c>
      <c r="E14">
        <f ca="1">north!E14*(H!E13-H!E14)</f>
        <v>10.819556759624938</v>
      </c>
      <c r="F14">
        <f ca="1">north!F14*(H!F13-H!F14)</f>
        <v>10.574384993102992</v>
      </c>
      <c r="G14">
        <f ca="1">north!G14*(H!G13-H!G14)</f>
        <v>10.516525850704728</v>
      </c>
      <c r="H14">
        <f ca="1">north!H14*(H!H13-H!H14)</f>
        <v>10.501290213364456</v>
      </c>
      <c r="I14">
        <f ca="1">north!I14*(H!I13-H!I14)</f>
        <v>10.489398993730692</v>
      </c>
      <c r="J14">
        <f ca="1">north!J14*(H!J13-H!J14)</f>
        <v>10.450093967537732</v>
      </c>
      <c r="K14">
        <f ca="1">north!K14*(H!K13-H!K14)</f>
        <v>10.281873916686557</v>
      </c>
      <c r="L14">
        <f ca="1">north!L14*(H!L13-H!L14)</f>
        <v>9.5547070189249794</v>
      </c>
      <c r="M14">
        <f ca="1">north!M14*(H!M13-H!M14)</f>
        <v>3.3296136203391669</v>
      </c>
    </row>
    <row r="15" spans="2:13" x14ac:dyDescent="0.2">
      <c r="C15">
        <f>north!C15*(H!C14-H!C15)</f>
        <v>0</v>
      </c>
      <c r="D15">
        <f ca="1">north!D15*(H!D14-H!D15)</f>
        <v>15.15347436300809</v>
      </c>
      <c r="E15">
        <f ca="1">north!E15*(H!E14-H!E15)</f>
        <v>13.902397563006996</v>
      </c>
      <c r="F15">
        <f ca="1">north!F15*(H!F14-H!F15)</f>
        <v>13.592426327658558</v>
      </c>
      <c r="G15">
        <f ca="1">north!G15*(H!G14-H!G15)</f>
        <v>13.520508763729122</v>
      </c>
      <c r="H15">
        <f ca="1">north!H15*(H!H14-H!H15)</f>
        <v>13.501600148129711</v>
      </c>
      <c r="I15">
        <f ca="1">north!I15*(H!I14-H!I15)</f>
        <v>13.486840358350793</v>
      </c>
      <c r="J15">
        <f ca="1">north!J15*(H!J14-H!J15)</f>
        <v>13.438078068428361</v>
      </c>
      <c r="K15">
        <f ca="1">north!K15*(H!K14-H!K15)</f>
        <v>13.229224231391257</v>
      </c>
      <c r="L15">
        <f ca="1">north!L15*(H!L14-H!L15)</f>
        <v>12.320992168228884</v>
      </c>
      <c r="M15">
        <f ca="1">north!M15*(H!M14-H!M15)</f>
        <v>4.2319565894613831</v>
      </c>
    </row>
    <row r="16" spans="2:13" x14ac:dyDescent="0.2">
      <c r="C16">
        <f>north!C16*(H!C15-H!C16)</f>
        <v>0</v>
      </c>
      <c r="D16">
        <f ca="1">north!D16*(H!D15-H!D16)</f>
        <v>-15.153477903416057</v>
      </c>
      <c r="E16">
        <f ca="1">north!E16*(H!E15-H!E16)</f>
        <v>-13.902404812379832</v>
      </c>
      <c r="F16">
        <f ca="1">north!F16*(H!F15-H!F16)</f>
        <v>-13.592433836078044</v>
      </c>
      <c r="G16">
        <f ca="1">north!G16*(H!G15-H!G16)</f>
        <v>-13.520517668309662</v>
      </c>
      <c r="H16">
        <f ca="1">north!H16*(H!H15-H!H16)</f>
        <v>-13.501613441034621</v>
      </c>
      <c r="I16">
        <f ca="1">north!I16*(H!I15-H!I16)</f>
        <v>-13.486859924534933</v>
      </c>
      <c r="J16">
        <f ca="1">north!J16*(H!J15-H!J16)</f>
        <v>-13.438088235683399</v>
      </c>
      <c r="K16">
        <f ca="1">north!K16*(H!K15-H!K16)</f>
        <v>-13.229230635622535</v>
      </c>
      <c r="L16">
        <f ca="1">north!L16*(H!L15-H!L16)</f>
        <v>-12.321023415350574</v>
      </c>
      <c r="M16">
        <f ca="1">north!M16*(H!M15-H!M16)</f>
        <v>-4.2319828307510576</v>
      </c>
    </row>
    <row r="17" spans="3:13" x14ac:dyDescent="0.2">
      <c r="C17">
        <f>north!C17*(H!C16-H!C17)</f>
        <v>0</v>
      </c>
      <c r="D17">
        <f ca="1">north!D17*(H!D16-H!D17)</f>
        <v>-11.622019370502734</v>
      </c>
      <c r="E17">
        <f ca="1">north!E17*(H!E16-H!E17)</f>
        <v>-10.81956138027893</v>
      </c>
      <c r="F17">
        <f ca="1">north!F17*(H!F16-H!F17)</f>
        <v>-10.574385257798191</v>
      </c>
      <c r="G17">
        <f ca="1">north!G17*(H!G16-H!G17)</f>
        <v>-10.516520574597976</v>
      </c>
      <c r="H17">
        <f ca="1">north!H17*(H!H16-H!H17)</f>
        <v>-10.501289643584766</v>
      </c>
      <c r="I17">
        <f ca="1">north!I17*(H!I16-H!I17)</f>
        <v>-10.489397330480621</v>
      </c>
      <c r="J17">
        <f ca="1">north!J17*(H!J16-H!J17)</f>
        <v>-10.4500955244899</v>
      </c>
      <c r="K17">
        <f ca="1">north!K17*(H!K16-H!K17)</f>
        <v>-10.281871773427653</v>
      </c>
      <c r="L17">
        <f ca="1">north!L17*(H!L16-H!L17)</f>
        <v>-9.5547251980882208</v>
      </c>
      <c r="M17">
        <f ca="1">north!M17*(H!M16-H!M17)</f>
        <v>-3.329626120524587</v>
      </c>
    </row>
    <row r="18" spans="3:13" x14ac:dyDescent="0.2">
      <c r="C18">
        <f>north!C18*(H!C17-H!C18)</f>
        <v>0</v>
      </c>
      <c r="D18">
        <f ca="1">north!D18*(H!D17-H!D18)</f>
        <v>-8.2148030391818061</v>
      </c>
      <c r="E18">
        <f ca="1">north!E18*(H!E17-H!E18)</f>
        <v>-7.7311475269103092</v>
      </c>
      <c r="F18">
        <f ca="1">north!F18*(H!F17-H!F18)</f>
        <v>-7.5544724888583659</v>
      </c>
      <c r="G18">
        <f ca="1">north!G18*(H!G17-H!G18)</f>
        <v>-7.512108191398692</v>
      </c>
      <c r="H18">
        <f ca="1">north!H18*(H!H17-H!H18)</f>
        <v>-7.5009384909546561</v>
      </c>
      <c r="I18">
        <f ca="1">north!I18*(H!I17-H!I18)</f>
        <v>-7.4922154990506584</v>
      </c>
      <c r="J18">
        <f ca="1">north!J18*(H!J17-H!J18)</f>
        <v>-7.4633977400515583</v>
      </c>
      <c r="K18">
        <f ca="1">north!K18*(H!K17-H!K18)</f>
        <v>-7.3401166390334893</v>
      </c>
      <c r="L18">
        <f ca="1">north!L18*(H!L17-H!L18)</f>
        <v>-6.8100806313134754</v>
      </c>
      <c r="M18">
        <f ca="1">north!M18*(H!M17-H!M18)</f>
        <v>-2.3983278804734276</v>
      </c>
    </row>
    <row r="19" spans="3:13" x14ac:dyDescent="0.2">
      <c r="C19">
        <f>north!C19*(H!C18-H!C19)</f>
        <v>0</v>
      </c>
      <c r="D19">
        <f ca="1">north!D19*(H!D18-H!D19)</f>
        <v>-4.8945743229394267</v>
      </c>
      <c r="E19">
        <f ca="1">north!E19*(H!E18-H!E19)</f>
        <v>-4.639668226876914</v>
      </c>
      <c r="F19">
        <f ca="1">north!F19*(H!F18-H!F19)</f>
        <v>-4.5332274378285575</v>
      </c>
      <c r="G19">
        <f ca="1">north!G19*(H!G18-H!G19)</f>
        <v>-4.507401604193717</v>
      </c>
      <c r="H19">
        <f ca="1">north!H19*(H!H18-H!H19)</f>
        <v>-4.5005831562037635</v>
      </c>
      <c r="I19">
        <f ca="1">north!I19*(H!I18-H!I19)</f>
        <v>-4.4952572120878997</v>
      </c>
      <c r="J19">
        <f ca="1">north!J19*(H!J18-H!J19)</f>
        <v>-4.4776699809788489</v>
      </c>
      <c r="K19">
        <f ca="1">north!K19*(H!K18-H!K19)</f>
        <v>-4.4024292652007802</v>
      </c>
      <c r="L19">
        <f ca="1">north!L19*(H!L18-H!L19)</f>
        <v>-4.0803079248659557</v>
      </c>
      <c r="M19">
        <f ca="1">north!M19*(H!M18-H!M19)</f>
        <v>-1.4469135510347009</v>
      </c>
    </row>
    <row r="20" spans="3:13" x14ac:dyDescent="0.2">
      <c r="C20">
        <f>north!C20*(H!C19-H!C20)</f>
        <v>0</v>
      </c>
      <c r="D20">
        <f ca="1">north!D20*(H!D19-H!D20)</f>
        <v>-1.6258414646165065</v>
      </c>
      <c r="E20">
        <f ca="1">north!E20*(H!E19-H!E20)</f>
        <v>-1.5467006762373003</v>
      </c>
      <c r="F20">
        <f ca="1">north!F20*(H!F19-H!F20)</f>
        <v>-1.5111645607276181</v>
      </c>
      <c r="G20">
        <f ca="1">north!G20*(H!G19-H!G20)</f>
        <v>-1.502490414474611</v>
      </c>
      <c r="H20">
        <f ca="1">north!H20*(H!H19-H!H20)</f>
        <v>-1.5001998017364571</v>
      </c>
      <c r="I20">
        <f ca="1">north!I20*(H!I19-H!I20)</f>
        <v>-1.4984122194340088</v>
      </c>
      <c r="J20">
        <f ca="1">north!J20*(H!J19-H!J20)</f>
        <v>-1.4924965611606389</v>
      </c>
      <c r="K20">
        <f ca="1">north!K20*(H!K19-H!K20)</f>
        <v>-1.4672046637658198</v>
      </c>
      <c r="L20">
        <f ca="1">north!L20*(H!L19-H!L20)</f>
        <v>-1.3591782969966104</v>
      </c>
      <c r="M20">
        <f ca="1">north!M20*(H!M19-H!M20)</f>
        <v>-0.48361742868481272</v>
      </c>
    </row>
  </sheetData>
  <conditionalFormatting sqref="C10:M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M20"/>
  <sheetViews>
    <sheetView workbookViewId="0">
      <selection activeCell="B3" sqref="B3"/>
    </sheetView>
  </sheetViews>
  <sheetFormatPr defaultRowHeight="12.75" x14ac:dyDescent="0.2"/>
  <sheetData>
    <row r="2" spans="2:13" x14ac:dyDescent="0.2">
      <c r="B2" t="s">
        <v>28</v>
      </c>
    </row>
    <row r="10" spans="2:13" x14ac:dyDescent="0.2">
      <c r="C10">
        <f>south!C10*(H!C11-H!C10)</f>
        <v>0</v>
      </c>
      <c r="D10">
        <f ca="1">south!D10*(H!D11-H!D10)</f>
        <v>-1.6258362620709121</v>
      </c>
      <c r="E10">
        <f ca="1">south!E10*(H!E11-H!E10)</f>
        <v>-1.5466918336426438</v>
      </c>
      <c r="F10">
        <f ca="1">south!F10*(H!F11-H!F10)</f>
        <v>-1.5111552783069193</v>
      </c>
      <c r="G10">
        <f ca="1">south!G10*(H!G11-H!G10)</f>
        <v>-1.502480069204104</v>
      </c>
      <c r="H10">
        <f ca="1">south!H10*(H!H11-H!H10)</f>
        <v>-1.5001865451880647</v>
      </c>
      <c r="I10">
        <f ca="1">south!I10*(H!I11-H!I10)</f>
        <v>-1.4983925967412048</v>
      </c>
      <c r="J10">
        <f ca="1">south!J10*(H!J11-H!J10)</f>
        <v>-1.4924881681162461</v>
      </c>
      <c r="K10">
        <f ca="1">south!K10*(H!K11-H!K10)</f>
        <v>-1.4671998582802104</v>
      </c>
      <c r="L10">
        <f ca="1">south!L10*(H!L11-H!L10)</f>
        <v>-1.3591542028262182</v>
      </c>
      <c r="M10">
        <f ca="1">south!M10*(H!M11-H!M10)</f>
        <v>-0.48359013410435026</v>
      </c>
    </row>
    <row r="11" spans="2:13" x14ac:dyDescent="0.2">
      <c r="C11">
        <f>south!C11*(H!C12-H!C11)</f>
        <v>0</v>
      </c>
      <c r="D11">
        <f ca="1">south!D11*(H!D12-H!D11)</f>
        <v>-4.8945710136892195</v>
      </c>
      <c r="E11">
        <f ca="1">south!E11*(H!E12-H!E11)</f>
        <v>-4.6396643064126941</v>
      </c>
      <c r="F11">
        <f ca="1">south!F11*(H!F12-H!F11)</f>
        <v>-4.5332298565548435</v>
      </c>
      <c r="G11">
        <f ca="1">south!G11*(H!G12-H!G11)</f>
        <v>-4.5074099920801025</v>
      </c>
      <c r="H11">
        <f ca="1">south!H11*(H!H12-H!H11)</f>
        <v>-4.5005867771979347</v>
      </c>
      <c r="I11">
        <f ca="1">south!I11*(H!I12-H!I11)</f>
        <v>-4.4952613534034569</v>
      </c>
      <c r="J11">
        <f ca="1">south!J11*(H!J12-H!J11)</f>
        <v>-4.4776734698181997</v>
      </c>
      <c r="K11">
        <f ca="1">south!K11*(H!K12-H!K11)</f>
        <v>-4.4024354439553548</v>
      </c>
      <c r="L11">
        <f ca="1">south!L11*(H!L12-H!L11)</f>
        <v>-4.0802896056430171</v>
      </c>
      <c r="M11">
        <f ca="1">south!M11*(H!M12-H!M11)</f>
        <v>-1.4469053113316477</v>
      </c>
    </row>
    <row r="12" spans="2:13" x14ac:dyDescent="0.2">
      <c r="C12">
        <f>south!C12*(H!C13-H!C12)</f>
        <v>0</v>
      </c>
      <c r="D12">
        <f ca="1">south!D12*(H!D13-H!D12)</f>
        <v>-8.2148038110100075</v>
      </c>
      <c r="E12">
        <f ca="1">south!E12*(H!E13-H!E12)</f>
        <v>-7.7311483955456062</v>
      </c>
      <c r="F12">
        <f ca="1">south!F12*(H!F13-H!F12)</f>
        <v>-7.5544862718483152</v>
      </c>
      <c r="G12">
        <f ca="1">south!G12*(H!G13-H!G12)</f>
        <v>-7.5121356022522789</v>
      </c>
      <c r="H12">
        <f ca="1">south!H12*(H!H13-H!H12)</f>
        <v>-7.5009640033782965</v>
      </c>
      <c r="I12">
        <f ca="1">south!I12*(H!I13-H!I12)</f>
        <v>-7.4922442766131248</v>
      </c>
      <c r="J12">
        <f ca="1">south!J12*(H!J13-H!J12)</f>
        <v>-7.4634276074750261</v>
      </c>
      <c r="K12">
        <f ca="1">south!K12*(H!K13-H!K12)</f>
        <v>-7.3401216394053392</v>
      </c>
      <c r="L12">
        <f ca="1">south!L12*(H!L13-H!L12)</f>
        <v>-6.8101058507293644</v>
      </c>
      <c r="M12">
        <f ca="1">south!M12*(H!M13-H!M12)</f>
        <v>-2.3983382463839575</v>
      </c>
    </row>
    <row r="13" spans="2:13" x14ac:dyDescent="0.2">
      <c r="C13">
        <f>south!C13*(H!C14-H!C13)</f>
        <v>0</v>
      </c>
      <c r="D13">
        <f ca="1">south!D13*(H!D14-H!D13)</f>
        <v>-11.622017319165501</v>
      </c>
      <c r="E13">
        <f ca="1">south!E13*(H!E14-H!E13)</f>
        <v>-10.819556759624938</v>
      </c>
      <c r="F13">
        <f ca="1">south!F13*(H!F14-H!F13)</f>
        <v>-10.574384993102992</v>
      </c>
      <c r="G13">
        <f ca="1">south!G13*(H!G14-H!G13)</f>
        <v>-10.516525850704728</v>
      </c>
      <c r="H13">
        <f ca="1">south!H13*(H!H14-H!H13)</f>
        <v>-10.501290213364456</v>
      </c>
      <c r="I13">
        <f ca="1">south!I13*(H!I14-H!I13)</f>
        <v>-10.489398993730692</v>
      </c>
      <c r="J13">
        <f ca="1">south!J13*(H!J14-H!J13)</f>
        <v>-10.450093967537732</v>
      </c>
      <c r="K13">
        <f ca="1">south!K13*(H!K14-H!K13)</f>
        <v>-10.281873916686557</v>
      </c>
      <c r="L13">
        <f ca="1">south!L13*(H!L14-H!L13)</f>
        <v>-9.5547070189249794</v>
      </c>
      <c r="M13">
        <f ca="1">south!M13*(H!M14-H!M13)</f>
        <v>-3.3296136203391669</v>
      </c>
    </row>
    <row r="14" spans="2:13" x14ac:dyDescent="0.2">
      <c r="C14">
        <f>south!C14*(H!C15-H!C14)</f>
        <v>0</v>
      </c>
      <c r="D14">
        <f ca="1">south!D14*(H!D15-H!D14)</f>
        <v>-15.15347436300809</v>
      </c>
      <c r="E14">
        <f ca="1">south!E14*(H!E15-H!E14)</f>
        <v>-13.902397563006996</v>
      </c>
      <c r="F14">
        <f ca="1">south!F14*(H!F15-H!F14)</f>
        <v>-13.592426327658558</v>
      </c>
      <c r="G14">
        <f ca="1">south!G14*(H!G15-H!G14)</f>
        <v>-13.520508763729122</v>
      </c>
      <c r="H14">
        <f ca="1">south!H14*(H!H15-H!H14)</f>
        <v>-13.501600148129711</v>
      </c>
      <c r="I14">
        <f ca="1">south!I14*(H!I15-H!I14)</f>
        <v>-13.486840358350793</v>
      </c>
      <c r="J14">
        <f ca="1">south!J14*(H!J15-H!J14)</f>
        <v>-13.438078068428361</v>
      </c>
      <c r="K14">
        <f ca="1">south!K14*(H!K15-H!K14)</f>
        <v>-13.229224231391257</v>
      </c>
      <c r="L14">
        <f ca="1">south!L14*(H!L15-H!L14)</f>
        <v>-12.320992168228884</v>
      </c>
      <c r="M14">
        <f ca="1">south!M14*(H!M15-H!M14)</f>
        <v>-4.2319565894613831</v>
      </c>
    </row>
    <row r="15" spans="2:13" x14ac:dyDescent="0.2">
      <c r="C15">
        <f>south!C15*(H!C16-H!C15)</f>
        <v>0</v>
      </c>
      <c r="D15">
        <f ca="1">south!D15*(H!D16-H!D15)</f>
        <v>15.153477903416057</v>
      </c>
      <c r="E15">
        <f ca="1">south!E15*(H!E16-H!E15)</f>
        <v>13.902404812379832</v>
      </c>
      <c r="F15">
        <f ca="1">south!F15*(H!F16-H!F15)</f>
        <v>13.592433836078044</v>
      </c>
      <c r="G15">
        <f ca="1">south!G15*(H!G16-H!G15)</f>
        <v>13.520517668309662</v>
      </c>
      <c r="H15">
        <f ca="1">south!H15*(H!H16-H!H15)</f>
        <v>13.501613441034621</v>
      </c>
      <c r="I15">
        <f ca="1">south!I15*(H!I16-H!I15)</f>
        <v>13.486859924534933</v>
      </c>
      <c r="J15">
        <f ca="1">south!J15*(H!J16-H!J15)</f>
        <v>13.438088235683399</v>
      </c>
      <c r="K15">
        <f ca="1">south!K15*(H!K16-H!K15)</f>
        <v>13.229230635622535</v>
      </c>
      <c r="L15">
        <f ca="1">south!L15*(H!L16-H!L15)</f>
        <v>12.321023415350574</v>
      </c>
      <c r="M15">
        <f ca="1">south!M15*(H!M16-H!M15)</f>
        <v>4.2319828307510576</v>
      </c>
    </row>
    <row r="16" spans="2:13" x14ac:dyDescent="0.2">
      <c r="C16">
        <f>south!C16*(H!C17-H!C16)</f>
        <v>0</v>
      </c>
      <c r="D16">
        <f ca="1">south!D16*(H!D17-H!D16)</f>
        <v>11.622019370502734</v>
      </c>
      <c r="E16">
        <f ca="1">south!E16*(H!E17-H!E16)</f>
        <v>10.81956138027893</v>
      </c>
      <c r="F16">
        <f ca="1">south!F16*(H!F17-H!F16)</f>
        <v>10.574385257798191</v>
      </c>
      <c r="G16">
        <f ca="1">south!G16*(H!G17-H!G16)</f>
        <v>10.516520574597976</v>
      </c>
      <c r="H16">
        <f ca="1">south!H16*(H!H17-H!H16)</f>
        <v>10.501289643584766</v>
      </c>
      <c r="I16">
        <f ca="1">south!I16*(H!I17-H!I16)</f>
        <v>10.489397330480621</v>
      </c>
      <c r="J16">
        <f ca="1">south!J16*(H!J17-H!J16)</f>
        <v>10.4500955244899</v>
      </c>
      <c r="K16">
        <f ca="1">south!K16*(H!K17-H!K16)</f>
        <v>10.281871773427653</v>
      </c>
      <c r="L16">
        <f ca="1">south!L16*(H!L17-H!L16)</f>
        <v>9.5547251980882208</v>
      </c>
      <c r="M16">
        <f ca="1">south!M16*(H!M17-H!M16)</f>
        <v>3.329626120524587</v>
      </c>
    </row>
    <row r="17" spans="3:13" x14ac:dyDescent="0.2">
      <c r="C17">
        <f>south!C17*(H!C18-H!C17)</f>
        <v>0</v>
      </c>
      <c r="D17">
        <f ca="1">south!D17*(H!D18-H!D17)</f>
        <v>8.2148030391818061</v>
      </c>
      <c r="E17">
        <f ca="1">south!E17*(H!E18-H!E17)</f>
        <v>7.7311475269103092</v>
      </c>
      <c r="F17">
        <f ca="1">south!F17*(H!F18-H!F17)</f>
        <v>7.5544724888583659</v>
      </c>
      <c r="G17">
        <f ca="1">south!G17*(H!G18-H!G17)</f>
        <v>7.512108191398692</v>
      </c>
      <c r="H17">
        <f ca="1">south!H17*(H!H18-H!H17)</f>
        <v>7.5009384909546561</v>
      </c>
      <c r="I17">
        <f ca="1">south!I17*(H!I18-H!I17)</f>
        <v>7.4922154990506584</v>
      </c>
      <c r="J17">
        <f ca="1">south!J17*(H!J18-H!J17)</f>
        <v>7.4633977400515583</v>
      </c>
      <c r="K17">
        <f ca="1">south!K17*(H!K18-H!K17)</f>
        <v>7.3401166390334893</v>
      </c>
      <c r="L17">
        <f ca="1">south!L17*(H!L18-H!L17)</f>
        <v>6.8100806313134754</v>
      </c>
      <c r="M17">
        <f ca="1">south!M17*(H!M18-H!M17)</f>
        <v>2.3983278804734276</v>
      </c>
    </row>
    <row r="18" spans="3:13" x14ac:dyDescent="0.2">
      <c r="C18">
        <f>south!C18*(H!C19-H!C18)</f>
        <v>0</v>
      </c>
      <c r="D18">
        <f ca="1">south!D18*(H!D19-H!D18)</f>
        <v>4.8945743229394267</v>
      </c>
      <c r="E18">
        <f ca="1">south!E18*(H!E19-H!E18)</f>
        <v>4.639668226876914</v>
      </c>
      <c r="F18">
        <f ca="1">south!F18*(H!F19-H!F18)</f>
        <v>4.5332274378285575</v>
      </c>
      <c r="G18">
        <f ca="1">south!G18*(H!G19-H!G18)</f>
        <v>4.507401604193717</v>
      </c>
      <c r="H18">
        <f ca="1">south!H18*(H!H19-H!H18)</f>
        <v>4.5005831562037635</v>
      </c>
      <c r="I18">
        <f ca="1">south!I18*(H!I19-H!I18)</f>
        <v>4.4952572120878997</v>
      </c>
      <c r="J18">
        <f ca="1">south!J18*(H!J19-H!J18)</f>
        <v>4.4776699809788489</v>
      </c>
      <c r="K18">
        <f ca="1">south!K18*(H!K19-H!K18)</f>
        <v>4.4024292652007802</v>
      </c>
      <c r="L18">
        <f ca="1">south!L18*(H!L19-H!L18)</f>
        <v>4.0803079248659557</v>
      </c>
      <c r="M18">
        <f ca="1">south!M18*(H!M19-H!M18)</f>
        <v>1.4469135510347009</v>
      </c>
    </row>
    <row r="19" spans="3:13" x14ac:dyDescent="0.2">
      <c r="C19">
        <f>south!C19*(H!C20-H!C19)</f>
        <v>0</v>
      </c>
      <c r="D19">
        <f ca="1">south!D19*(H!D20-H!D19)</f>
        <v>1.6258414646165065</v>
      </c>
      <c r="E19">
        <f ca="1">south!E19*(H!E20-H!E19)</f>
        <v>1.5467006762373003</v>
      </c>
      <c r="F19">
        <f ca="1">south!F19*(H!F20-H!F19)</f>
        <v>1.5111645607276181</v>
      </c>
      <c r="G19">
        <f ca="1">south!G19*(H!G20-H!G19)</f>
        <v>1.502490414474611</v>
      </c>
      <c r="H19">
        <f ca="1">south!H19*(H!H20-H!H19)</f>
        <v>1.5001998017364571</v>
      </c>
      <c r="I19">
        <f ca="1">south!I19*(H!I20-H!I19)</f>
        <v>1.4984122194340088</v>
      </c>
      <c r="J19">
        <f ca="1">south!J19*(H!J20-H!J19)</f>
        <v>1.4924965611606389</v>
      </c>
      <c r="K19">
        <f ca="1">south!K19*(H!K20-H!K19)</f>
        <v>1.4672046637658198</v>
      </c>
      <c r="L19">
        <f ca="1">south!L19*(H!L20-H!L19)</f>
        <v>1.3591782969966104</v>
      </c>
      <c r="M19">
        <f ca="1">south!M19*(H!M20-H!M19)</f>
        <v>0.48361742868481272</v>
      </c>
    </row>
    <row r="20" spans="3:13" x14ac:dyDescent="0.2">
      <c r="C20">
        <f>south!C20*(H!C21-H!C20)</f>
        <v>0</v>
      </c>
      <c r="D20">
        <f ca="1">south!D20*(H!D21-H!D20)</f>
        <v>0</v>
      </c>
      <c r="E20">
        <f ca="1">south!E20*(H!E21-H!E20)</f>
        <v>0</v>
      </c>
      <c r="F20">
        <f ca="1">south!F20*(H!F21-H!F20)</f>
        <v>0</v>
      </c>
      <c r="G20">
        <f ca="1">south!G20*(H!G21-H!G20)</f>
        <v>0</v>
      </c>
      <c r="H20">
        <f ca="1">south!H20*(H!H21-H!H20)</f>
        <v>0</v>
      </c>
      <c r="I20">
        <f ca="1">south!I20*(H!I21-H!I20)</f>
        <v>0</v>
      </c>
      <c r="J20">
        <f ca="1">south!J20*(H!J21-H!J20)</f>
        <v>0</v>
      </c>
      <c r="K20">
        <f ca="1">south!K20*(H!K21-H!K20)</f>
        <v>0</v>
      </c>
      <c r="L20">
        <f ca="1">south!L20*(H!L21-H!L20)</f>
        <v>0</v>
      </c>
      <c r="M20">
        <f ca="1">south!M20*(H!M21-H!M20)</f>
        <v>0</v>
      </c>
    </row>
  </sheetData>
  <phoneticPr fontId="0" type="noConversion"/>
  <conditionalFormatting sqref="C10:W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40D1-3BC2-4222-9F33-99EEAAD24D29}">
  <dimension ref="B2:M20"/>
  <sheetViews>
    <sheetView workbookViewId="0">
      <selection activeCell="P20" sqref="P20"/>
    </sheetView>
  </sheetViews>
  <sheetFormatPr defaultRowHeight="12.75" x14ac:dyDescent="0.2"/>
  <sheetData>
    <row r="2" spans="2:13" x14ac:dyDescent="0.2">
      <c r="B2" t="s">
        <v>27</v>
      </c>
    </row>
    <row r="10" spans="2:13" x14ac:dyDescent="0.2">
      <c r="C10">
        <f ca="1">east!C10*(H!D10-H!C10)</f>
        <v>0.26275580818424693</v>
      </c>
      <c r="D10">
        <f ca="1">east!D10*(H!E10-H!D10)</f>
        <v>0.38859766134049245</v>
      </c>
      <c r="E10">
        <f ca="1">east!E10*(H!F10-H!E10)</f>
        <v>0.4352987523282974</v>
      </c>
      <c r="F10">
        <f ca="1">east!F10*(H!G10-H!F10)</f>
        <v>0.44646308234295473</v>
      </c>
      <c r="G10">
        <f ca="1">east!G10*(H!H10-H!G10)</f>
        <v>0.44895043124358436</v>
      </c>
      <c r="H10">
        <f ca="1">east!H10*(H!I10-H!H10)</f>
        <v>0.44914537409570654</v>
      </c>
      <c r="I10">
        <f ca="1">east!I10*(H!J10-H!I10)</f>
        <v>0.44755010652601568</v>
      </c>
      <c r="J10">
        <f ca="1">east!J10*(H!K10-H!J10)</f>
        <v>0.44003930717926698</v>
      </c>
      <c r="K10">
        <f ca="1">east!K10*(H!L10-H!K10)</f>
        <v>0.4072382141616675</v>
      </c>
      <c r="L10">
        <f ca="1">east!L10*(H!M10-H!L10)</f>
        <v>0.26639237549465822</v>
      </c>
      <c r="M10">
        <f ca="1">east!M10*(H!N10-H!M10)</f>
        <v>0</v>
      </c>
    </row>
    <row r="11" spans="2:13" x14ac:dyDescent="0.2">
      <c r="C11">
        <f ca="1">east!C11*(H!D11-H!C11)</f>
        <v>0.50925325374778474</v>
      </c>
      <c r="D11">
        <f ca="1">east!D11*(H!E11-H!D11)</f>
        <v>0.77798676696526758</v>
      </c>
      <c r="E11">
        <f ca="1">east!E11*(H!F11-H!E11)</f>
        <v>0.87095287020995205</v>
      </c>
      <c r="F11">
        <f ca="1">east!F11*(H!G11-H!F11)</f>
        <v>0.89301291677693762</v>
      </c>
      <c r="G11">
        <f ca="1">east!G11*(H!H11-H!G11)</f>
        <v>0.89792379772732911</v>
      </c>
      <c r="H11">
        <f ca="1">east!H11*(H!I11-H!H11)</f>
        <v>0.89830868767588168</v>
      </c>
      <c r="I11">
        <f ca="1">east!I11*(H!J11-H!I11)</f>
        <v>0.89515925733828094</v>
      </c>
      <c r="J11">
        <f ca="1">east!J11*(H!K11-H!J11)</f>
        <v>0.88033149745689432</v>
      </c>
      <c r="K11">
        <f ca="1">east!K11*(H!L11-H!K11)</f>
        <v>0.81555688487787492</v>
      </c>
      <c r="L11">
        <f ca="1">east!L11*(H!M11-H!L11)</f>
        <v>0.53670449033549161</v>
      </c>
      <c r="M11">
        <f ca="1">east!M11*(H!N11-H!M11)</f>
        <v>0</v>
      </c>
    </row>
    <row r="12" spans="2:13" x14ac:dyDescent="0.2">
      <c r="C12">
        <f ca="1">east!C12*(H!D12-H!C12)</f>
        <v>0.46030754361089254</v>
      </c>
      <c r="D12">
        <f ca="1">east!D12*(H!E12-H!D12)</f>
        <v>0.78053583403803284</v>
      </c>
      <c r="E12">
        <f ca="1">east!E12*(H!F12-H!E12)</f>
        <v>0.87201721470853055</v>
      </c>
      <c r="F12">
        <f ca="1">east!F12*(H!G12-H!F12)</f>
        <v>0.89327111542168502</v>
      </c>
      <c r="G12">
        <f ca="1">east!G12*(H!H12-H!G12)</f>
        <v>0.89799202987615079</v>
      </c>
      <c r="H12">
        <f ca="1">east!H12*(H!I12-H!H12)</f>
        <v>0.89836194191382646</v>
      </c>
      <c r="I12">
        <f ca="1">east!I12*(H!J12-H!I12)</f>
        <v>0.89533513617413352</v>
      </c>
      <c r="J12">
        <f ca="1">east!J12*(H!K12-H!J12)</f>
        <v>0.88108387771552277</v>
      </c>
      <c r="K12">
        <f ca="1">east!K12*(H!L12-H!K12)</f>
        <v>0.8187783432609983</v>
      </c>
      <c r="L12">
        <f ca="1">east!L12*(H!M12-H!L12)</f>
        <v>0.54856928016528883</v>
      </c>
      <c r="M12">
        <f ca="1">east!M12*(H!N12-H!M12)</f>
        <v>0</v>
      </c>
    </row>
    <row r="13" spans="2:13" x14ac:dyDescent="0.2">
      <c r="C13">
        <f ca="1">east!C13*(H!D13-H!C13)</f>
        <v>0.37815950550079247</v>
      </c>
      <c r="D13">
        <f ca="1">east!D13*(H!E13-H!D13)</f>
        <v>0.78537238819267685</v>
      </c>
      <c r="E13">
        <f ca="1">east!E13*(H!F13-H!E13)</f>
        <v>0.87378383594550346</v>
      </c>
      <c r="F13">
        <f ca="1">east!F13*(H!G13-H!F13)</f>
        <v>0.89369462211764539</v>
      </c>
      <c r="G13">
        <f ca="1">east!G13*(H!H13-H!G13)</f>
        <v>0.89810374586489061</v>
      </c>
      <c r="H13">
        <f ca="1">east!H13*(H!I13-H!H13)</f>
        <v>0.89844913918147817</v>
      </c>
      <c r="I13">
        <f ca="1">east!I13*(H!J13-H!I13)</f>
        <v>0.8956233028655145</v>
      </c>
      <c r="J13">
        <f ca="1">east!J13*(H!K13-H!J13)</f>
        <v>0.88231693739621964</v>
      </c>
      <c r="K13">
        <f ca="1">east!K13*(H!L13-H!K13)</f>
        <v>0.82407850114775805</v>
      </c>
      <c r="L13">
        <f ca="1">east!L13*(H!M13-H!L13)</f>
        <v>0.56870357374490332</v>
      </c>
      <c r="M13">
        <f ca="1">east!M13*(H!N13-H!M13)</f>
        <v>0</v>
      </c>
    </row>
    <row r="14" spans="2:13" x14ac:dyDescent="0.2">
      <c r="C14">
        <f ca="1">east!C14*(H!D14-H!C14)</f>
        <v>0.26193933230913746</v>
      </c>
      <c r="D14">
        <f ca="1">east!D14*(H!E14-H!D14)</f>
        <v>0.79339699378808248</v>
      </c>
      <c r="E14">
        <f ca="1">east!E14*(H!F14-H!E14)</f>
        <v>0.87623555361072292</v>
      </c>
      <c r="F14">
        <f ca="1">east!F14*(H!G14-H!F14)</f>
        <v>0.89427321354162803</v>
      </c>
      <c r="G14">
        <f ca="1">east!G14*(H!H14-H!G14)</f>
        <v>0.89825610223829333</v>
      </c>
      <c r="H14">
        <f ca="1">east!H14*(H!I14-H!H14)</f>
        <v>0.89856805137781581</v>
      </c>
      <c r="I14">
        <f ca="1">east!I14*(H!J14-H!I14)</f>
        <v>0.8960163531274441</v>
      </c>
      <c r="J14">
        <f ca="1">east!J14*(H!K14-H!J14)</f>
        <v>0.88399913790473139</v>
      </c>
      <c r="K14">
        <f ca="1">east!K14*(H!L14-H!K14)</f>
        <v>0.83135017012537382</v>
      </c>
      <c r="L14">
        <f ca="1">east!L14*(H!M14-H!L14)</f>
        <v>0.59765837152736978</v>
      </c>
      <c r="M14">
        <f ca="1">east!M14*(H!N14-H!M14)</f>
        <v>0</v>
      </c>
    </row>
    <row r="15" spans="2:13" x14ac:dyDescent="0.2">
      <c r="C15">
        <f ca="1">east!C15*(H!D15-H!C15)</f>
        <v>0.11040458867905656</v>
      </c>
      <c r="D15">
        <f ca="1">east!D15*(H!E15-H!D15)</f>
        <v>0.80590776178809342</v>
      </c>
      <c r="E15">
        <f ca="1">east!E15*(H!F15-H!E15)</f>
        <v>0.8793352659642073</v>
      </c>
      <c r="F15">
        <f ca="1">east!F15*(H!G15-H!F15)</f>
        <v>0.89499238918092239</v>
      </c>
      <c r="G15">
        <f ca="1">east!G15*(H!H15-H!G15)</f>
        <v>0.89844518839428744</v>
      </c>
      <c r="H15">
        <f ca="1">east!H15*(H!I15-H!H15)</f>
        <v>0.89871564927560499</v>
      </c>
      <c r="I15">
        <f ca="1">east!I15*(H!J15-H!I15)</f>
        <v>0.89650397602666843</v>
      </c>
      <c r="J15">
        <f ca="1">east!J15*(H!K15-H!J15)</f>
        <v>0.88608767627510243</v>
      </c>
      <c r="K15">
        <f ca="1">east!K15*(H!L15-H!K15)</f>
        <v>0.84043249075699755</v>
      </c>
      <c r="L15">
        <f ca="1">east!L15*(H!M15-H!L15)</f>
        <v>0.63622916142043096</v>
      </c>
      <c r="M15">
        <f ca="1">east!M15*(H!N15-H!M15)</f>
        <v>0</v>
      </c>
    </row>
    <row r="16" spans="2:13" x14ac:dyDescent="0.2">
      <c r="C16">
        <f ca="1">east!C16*(H!D16-H!C16)</f>
        <v>0.26193936771321713</v>
      </c>
      <c r="D16">
        <f ca="1">east!D16*(H!E16-H!D16)</f>
        <v>0.79339703087773117</v>
      </c>
      <c r="E16">
        <f ca="1">east!E16*(H!F16-H!E16)</f>
        <v>0.87623555620118942</v>
      </c>
      <c r="F16">
        <f ca="1">east!F16*(H!G16-H!F16)</f>
        <v>0.89427322750323857</v>
      </c>
      <c r="G16">
        <f ca="1">east!G16*(H!H16-H!G16)</f>
        <v>0.89825614612153704</v>
      </c>
      <c r="H16">
        <f ca="1">east!H16*(H!I16-H!H16)</f>
        <v>0.89856811411060811</v>
      </c>
      <c r="I16">
        <f ca="1">east!I16*(H!J16-H!I16)</f>
        <v>0.89601625913815308</v>
      </c>
      <c r="J16">
        <f ca="1">east!J16*(H!K16-H!J16)</f>
        <v>0.8839991002744938</v>
      </c>
      <c r="K16">
        <f ca="1">east!K16*(H!L16-H!K16)</f>
        <v>0.83135041855427794</v>
      </c>
      <c r="L16">
        <f ca="1">east!L16*(H!M16-H!L16)</f>
        <v>0.59765858388194637</v>
      </c>
      <c r="M16">
        <f ca="1">east!M16*(H!N16-H!M16)</f>
        <v>0</v>
      </c>
    </row>
    <row r="17" spans="3:13" x14ac:dyDescent="0.2">
      <c r="C17">
        <f ca="1">east!C17*(H!D17-H!C17)</f>
        <v>0.37815956141824447</v>
      </c>
      <c r="D17">
        <f ca="1">east!D17*(H!E17-H!D17)</f>
        <v>0.78537245097549313</v>
      </c>
      <c r="E17">
        <f ca="1">east!E17*(H!F17-H!E17)</f>
        <v>0.87378379497638203</v>
      </c>
      <c r="F17">
        <f ca="1">east!F17*(H!G17-H!F17)</f>
        <v>0.89369458067123642</v>
      </c>
      <c r="G17">
        <f ca="1">east!G17*(H!H17-H!G17)</f>
        <v>0.89810383681140493</v>
      </c>
      <c r="H17">
        <f ca="1">east!H17*(H!I17-H!H17)</f>
        <v>0.89844919097956666</v>
      </c>
      <c r="I17">
        <f ca="1">east!I17*(H!J17-H!I17)</f>
        <v>0.89562324107824587</v>
      </c>
      <c r="J17">
        <f ca="1">east!J17*(H!K17-H!J17)</f>
        <v>0.88231686276387133</v>
      </c>
      <c r="K17">
        <f ca="1">east!K17*(H!L17-H!K17)</f>
        <v>0.82407895280088361</v>
      </c>
      <c r="L17">
        <f ca="1">east!L17*(H!M17-H!L17)</f>
        <v>0.5687038543115559</v>
      </c>
      <c r="M17">
        <f ca="1">east!M17*(H!N17-H!M17)</f>
        <v>0</v>
      </c>
    </row>
    <row r="18" spans="3:13" x14ac:dyDescent="0.2">
      <c r="C18">
        <f ca="1">east!C18*(H!D18-H!C18)</f>
        <v>0.46030759181006253</v>
      </c>
      <c r="D18">
        <f ca="1">east!D18*(H!E18-H!D18)</f>
        <v>0.78053589585277816</v>
      </c>
      <c r="E18">
        <f ca="1">east!E18*(H!F18-H!E18)</f>
        <v>0.8720170445958626</v>
      </c>
      <c r="F18">
        <f ca="1">east!F18*(H!G18-H!F18)</f>
        <v>0.89327093769663968</v>
      </c>
      <c r="G18">
        <f ca="1">east!G18*(H!H18-H!G18)</f>
        <v>0.89799213980696457</v>
      </c>
      <c r="H18">
        <f ca="1">east!H18*(H!I18-H!H18)</f>
        <v>0.89836196106052668</v>
      </c>
      <c r="I18">
        <f ca="1">east!I18*(H!J18-H!I18)</f>
        <v>0.89533506348825487</v>
      </c>
      <c r="J18">
        <f ca="1">east!J18*(H!K18-H!J18)</f>
        <v>0.88108405175369064</v>
      </c>
      <c r="K18">
        <f ca="1">east!K18*(H!L18-H!K18)</f>
        <v>0.81877859272368347</v>
      </c>
      <c r="L18">
        <f ca="1">east!L18*(H!M18-H!L18)</f>
        <v>0.5485696056078897</v>
      </c>
      <c r="M18">
        <f ca="1">east!M18*(H!N18-H!M18)</f>
        <v>0</v>
      </c>
    </row>
    <row r="19" spans="3:13" x14ac:dyDescent="0.2">
      <c r="C19">
        <f ca="1">east!C19*(H!D19-H!C19)</f>
        <v>0.5092533350394568</v>
      </c>
      <c r="D19">
        <f ca="1">east!D19*(H!E19-H!D19)</f>
        <v>0.77798683489215303</v>
      </c>
      <c r="E19">
        <f ca="1">east!E19*(H!F19-H!E19)</f>
        <v>0.87095263670537904</v>
      </c>
      <c r="F19">
        <f ca="1">east!F19*(H!G19-H!F19)</f>
        <v>0.89301267936029127</v>
      </c>
      <c r="G19">
        <f ca="1">east!G19*(H!H19-H!G19)</f>
        <v>0.89792395532706504</v>
      </c>
      <c r="H19">
        <f ca="1">east!H19*(H!I19-H!H19)</f>
        <v>0.89830870161936804</v>
      </c>
      <c r="I19">
        <f ca="1">east!I19*(H!J19-H!I19)</f>
        <v>0.89515919117716436</v>
      </c>
      <c r="J19">
        <f ca="1">east!J19*(H!K19-H!J19)</f>
        <v>0.88033164459590996</v>
      </c>
      <c r="K19">
        <f ca="1">east!K19*(H!L19-H!K19)</f>
        <v>0.81555737932033523</v>
      </c>
      <c r="L19">
        <f ca="1">east!L19*(H!M19-H!L19)</f>
        <v>0.53670479737992416</v>
      </c>
      <c r="M19">
        <f ca="1">east!M19*(H!N19-H!M19)</f>
        <v>0</v>
      </c>
    </row>
    <row r="20" spans="3:13" x14ac:dyDescent="0.2">
      <c r="C20">
        <f ca="1">east!C20*(H!D20-H!C20)</f>
        <v>0.26275587484281093</v>
      </c>
      <c r="D20">
        <f ca="1">east!D20*(H!E20-H!D20)</f>
        <v>0.38859771350418049</v>
      </c>
      <c r="E20">
        <f ca="1">east!E20*(H!F20-H!E20)</f>
        <v>0.43529863777514111</v>
      </c>
      <c r="F20">
        <f ca="1">east!F20*(H!G20-H!F20)</f>
        <v>0.4464629689488806</v>
      </c>
      <c r="G20">
        <f ca="1">east!G20*(H!H20-H!G20)</f>
        <v>0.44895052459984175</v>
      </c>
      <c r="H20">
        <f ca="1">east!H20*(H!I20-H!H20)</f>
        <v>0.44914541289817178</v>
      </c>
      <c r="I20">
        <f ca="1">east!I20*(H!J20-H!I20)</f>
        <v>0.44755001729721533</v>
      </c>
      <c r="J20">
        <f ca="1">east!J20*(H!K20-H!J20)</f>
        <v>0.44003936281098088</v>
      </c>
      <c r="K20">
        <f ca="1">east!K20*(H!L20-H!K20)</f>
        <v>0.40723855782632157</v>
      </c>
      <c r="L20">
        <f ca="1">east!L20*(H!M20-H!L20)</f>
        <v>0.26639268149182715</v>
      </c>
      <c r="M20">
        <f ca="1">east!M20*(H!N20-H!M20)</f>
        <v>0</v>
      </c>
    </row>
  </sheetData>
  <conditionalFormatting sqref="C10:M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27"/>
  <sheetViews>
    <sheetView workbookViewId="0">
      <selection activeCell="G26" sqref="G26"/>
    </sheetView>
  </sheetViews>
  <sheetFormatPr defaultRowHeight="12.75" x14ac:dyDescent="0.2"/>
  <cols>
    <col min="3" max="3" width="12.42578125" bestFit="1" customWidth="1"/>
    <col min="4" max="4" width="13.140625" bestFit="1" customWidth="1"/>
    <col min="5" max="5" width="13" bestFit="1" customWidth="1"/>
  </cols>
  <sheetData>
    <row r="1" spans="1:13" x14ac:dyDescent="0.2">
      <c r="A1" t="s">
        <v>20</v>
      </c>
    </row>
    <row r="10" spans="1:13" x14ac:dyDescent="0.2">
      <c r="C10">
        <f ca="1">-(Qnorth!C10+Qeast!C10+Qsouth!C10+Qwest!C10)</f>
        <v>-0.26275580818424693</v>
      </c>
      <c r="D10">
        <f ca="1">-(Qnorth!D10+Qeast!D10+Qsouth!D10+Qwest!D10)</f>
        <v>1.4999944089146666</v>
      </c>
      <c r="E10">
        <f ca="1">-(Qnorth!E10+Qeast!E10+Qsouth!E10+Qwest!E10)</f>
        <v>1.4999907426548389</v>
      </c>
      <c r="F10">
        <f ca="1">-(Qnorth!F10+Qeast!F10+Qsouth!F10+Qwest!F10)</f>
        <v>1.499990948292262</v>
      </c>
      <c r="G10">
        <f ca="1">-(Qnorth!G10+Qeast!G10+Qsouth!G10+Qwest!G10)</f>
        <v>1.4999927203034744</v>
      </c>
      <c r="H10">
        <f ca="1">-(Qnorth!H10+Qeast!H10+Qsouth!H10+Qwest!H10)</f>
        <v>1.4999916023359425</v>
      </c>
      <c r="I10">
        <f ca="1">-(Qnorth!I10+Qeast!I10+Qsouth!I10+Qwest!I10)</f>
        <v>1.4999878643108957</v>
      </c>
      <c r="J10">
        <f ca="1">-(Qnorth!J10+Qeast!J10+Qsouth!J10+Qwest!J10)</f>
        <v>1.4999989674629948</v>
      </c>
      <c r="K10">
        <f ca="1">-(Qnorth!K10+Qeast!K10+Qsouth!K10+Qwest!K10)</f>
        <v>1.5000009512978099</v>
      </c>
      <c r="L10">
        <f ca="1">-(Qnorth!L10+Qeast!L10+Qsouth!L10+Qwest!L10)</f>
        <v>1.5000000414932275</v>
      </c>
      <c r="M10">
        <f ca="1">-(Qnorth!M10+Qeast!M10+Qsouth!M10+Qwest!M10)</f>
        <v>0.74998250959900847</v>
      </c>
    </row>
    <row r="11" spans="1:13" x14ac:dyDescent="0.2">
      <c r="C11">
        <f ca="1">-(Qnorth!C11+Qeast!C11+Qsouth!C11+Qwest!C11)</f>
        <v>-0.50925325374778474</v>
      </c>
      <c r="D11">
        <f ca="1">-(Qnorth!D11+Qeast!D11+Qsouth!D11+Qwest!D11)</f>
        <v>3.0000012384008246</v>
      </c>
      <c r="E11">
        <f ca="1">-(Qnorth!E11+Qeast!E11+Qsouth!E11+Qwest!E11)</f>
        <v>3.0000063695253658</v>
      </c>
      <c r="F11">
        <f ca="1">-(Qnorth!F11+Qeast!F11+Qsouth!F11+Qwest!F11)</f>
        <v>3.0000145316809386</v>
      </c>
      <c r="G11">
        <f ca="1">-(Qnorth!G11+Qeast!G11+Qsouth!G11+Qwest!G11)</f>
        <v>3.000019041925607</v>
      </c>
      <c r="H11">
        <f ca="1">-(Qnorth!H11+Qeast!H11+Qsouth!H11+Qwest!H11)</f>
        <v>3.0000153420613174</v>
      </c>
      <c r="I11">
        <f ca="1">-(Qnorth!I11+Qeast!I11+Qsouth!I11+Qwest!I11)</f>
        <v>3.0000181869998528</v>
      </c>
      <c r="J11">
        <f ca="1">-(Qnorth!J11+Qeast!J11+Qsouth!J11+Qwest!J11)</f>
        <v>3.0000130615833402</v>
      </c>
      <c r="K11">
        <f ca="1">-(Qnorth!K11+Qeast!K11+Qsouth!K11+Qwest!K11)</f>
        <v>3.0000101982541638</v>
      </c>
      <c r="L11">
        <f ca="1">-(Qnorth!L11+Qeast!L11+Qsouth!L11+Qwest!L11)</f>
        <v>2.9999877973591822</v>
      </c>
      <c r="M11">
        <f ca="1">-(Qnorth!M11+Qeast!M11+Qsouth!M11+Qwest!M11)</f>
        <v>1.500019667562789</v>
      </c>
    </row>
    <row r="12" spans="1:13" x14ac:dyDescent="0.2">
      <c r="C12">
        <f ca="1">-(Qnorth!C12+Qeast!C12+Qsouth!C12+Qwest!C12)</f>
        <v>-0.46030754361089254</v>
      </c>
      <c r="D12">
        <f ca="1">-(Qnorth!D12+Qeast!D12+Qsouth!D12+Qwest!D12)</f>
        <v>3.0000045068936476</v>
      </c>
      <c r="E12">
        <f ca="1">-(Qnorth!E12+Qeast!E12+Qsouth!E12+Qwest!E12)</f>
        <v>3.0000027084624143</v>
      </c>
      <c r="F12">
        <f ca="1">-(Qnorth!F12+Qeast!F12+Qsouth!F12+Qwest!F12)</f>
        <v>3.0000025145803173</v>
      </c>
      <c r="G12">
        <f ca="1">-(Qnorth!G12+Qeast!G12+Qsouth!G12+Qwest!G12)</f>
        <v>3.0000046957177107</v>
      </c>
      <c r="H12">
        <f ca="1">-(Qnorth!H12+Qeast!H12+Qsouth!H12+Qwest!H12)</f>
        <v>3.0000073141426862</v>
      </c>
      <c r="I12">
        <f ca="1">-(Qnorth!I12+Qeast!I12+Qsouth!I12+Qwest!I12)</f>
        <v>3.0000097289493608</v>
      </c>
      <c r="J12">
        <f ca="1">-(Qnorth!J12+Qeast!J12+Qsouth!J12+Qwest!J12)</f>
        <v>3.0000053961154372</v>
      </c>
      <c r="K12">
        <f ca="1">-(Qnorth!K12+Qeast!K12+Qsouth!K12+Qwest!K12)</f>
        <v>2.9999917299045089</v>
      </c>
      <c r="L12">
        <f ca="1">-(Qnorth!L12+Qeast!L12+Qsouth!L12+Qwest!L12)</f>
        <v>3.0000253081820567</v>
      </c>
      <c r="M12">
        <f ca="1">-(Qnorth!M12+Qeast!M12+Qsouth!M12+Qwest!M12)</f>
        <v>1.5000022152175987</v>
      </c>
    </row>
    <row r="13" spans="1:13" x14ac:dyDescent="0.2">
      <c r="C13">
        <f ca="1">-(Qnorth!C13+Qeast!C13+Qsouth!C13+Qwest!C13)</f>
        <v>-0.37815950550079247</v>
      </c>
      <c r="D13">
        <f ca="1">-(Qnorth!D13+Qeast!D13+Qsouth!D13+Qwest!D13)</f>
        <v>3.0000006254636089</v>
      </c>
      <c r="E13">
        <f ca="1">-(Qnorth!E13+Qeast!E13+Qsouth!E13+Qwest!E13)</f>
        <v>2.9999969163265057</v>
      </c>
      <c r="F13">
        <f ca="1">-(Qnorth!F13+Qeast!F13+Qsouth!F13+Qwest!F13)</f>
        <v>2.999987935082534</v>
      </c>
      <c r="G13">
        <f ca="1">-(Qnorth!G13+Qeast!G13+Qsouth!G13+Qwest!G13)</f>
        <v>2.9999811247052035</v>
      </c>
      <c r="H13">
        <f ca="1">-(Qnorth!H13+Qeast!H13+Qsouth!H13+Qwest!H13)</f>
        <v>2.9999808166695718</v>
      </c>
      <c r="I13">
        <f ca="1">-(Qnorth!I13+Qeast!I13+Qsouth!I13+Qwest!I13)</f>
        <v>2.9999805534335309</v>
      </c>
      <c r="J13">
        <f ca="1">-(Qnorth!J13+Qeast!J13+Qsouth!J13+Qwest!J13)</f>
        <v>2.9999727255320021</v>
      </c>
      <c r="K13">
        <f ca="1">-(Qnorth!K13+Qeast!K13+Qsouth!K13+Qwest!K13)</f>
        <v>2.9999907135296793</v>
      </c>
      <c r="L13">
        <f ca="1">-(Qnorth!L13+Qeast!L13+Qsouth!L13+Qwest!L13)</f>
        <v>2.9999760955984698</v>
      </c>
      <c r="M13">
        <f ca="1">-(Qnorth!M13+Qeast!M13+Qsouth!M13+Qwest!M13)</f>
        <v>1.4999789477001126</v>
      </c>
    </row>
    <row r="14" spans="1:13" x14ac:dyDescent="0.2">
      <c r="C14">
        <f ca="1">-(Qnorth!C14+Qeast!C14+Qsouth!C14+Qwest!C14)</f>
        <v>-0.26193933230913746</v>
      </c>
      <c r="D14">
        <f ca="1">-(Qnorth!D14+Qeast!D14+Qsouth!D14+Qwest!D14)</f>
        <v>2.9999993823636446</v>
      </c>
      <c r="E14">
        <f ca="1">-(Qnorth!E14+Qeast!E14+Qsouth!E14+Qwest!E14)</f>
        <v>3.0000022435594182</v>
      </c>
      <c r="F14">
        <f ca="1">-(Qnorth!F14+Qeast!F14+Qsouth!F14+Qwest!F14)</f>
        <v>3.0000036746246614</v>
      </c>
      <c r="G14">
        <f ca="1">-(Qnorth!G14+Qeast!G14+Qsouth!G14+Qwest!G14)</f>
        <v>3.0000000243277301</v>
      </c>
      <c r="H14">
        <f ca="1">-(Qnorth!H14+Qeast!H14+Qsouth!H14+Qwest!H14)</f>
        <v>2.9999979856257335</v>
      </c>
      <c r="I14">
        <f ca="1">-(Qnorth!I14+Qeast!I14+Qsouth!I14+Qwest!I14)</f>
        <v>2.9999930628704741</v>
      </c>
      <c r="J14">
        <f ca="1">-(Qnorth!J14+Qeast!J14+Qsouth!J14+Qwest!J14)</f>
        <v>3.0000013161133419</v>
      </c>
      <c r="K14">
        <f ca="1">-(Qnorth!K14+Qeast!K14+Qsouth!K14+Qwest!K14)</f>
        <v>2.9999992824840573</v>
      </c>
      <c r="L14">
        <f ca="1">-(Qnorth!L14+Qeast!L14+Qsouth!L14+Qwest!L14)</f>
        <v>2.9999769479019083</v>
      </c>
      <c r="M14">
        <f ca="1">-(Qnorth!M14+Qeast!M14+Qsouth!M14+Qwest!M14)</f>
        <v>1.500001340649586</v>
      </c>
    </row>
    <row r="15" spans="1:13" x14ac:dyDescent="0.2">
      <c r="C15">
        <f ca="1">-(Qnorth!C15+Qeast!C15+Qsouth!C15+Qwest!C15)</f>
        <v>-0.11040458867905656</v>
      </c>
      <c r="D15">
        <f ca="1">-(Qnorth!D15+Qeast!D15+Qsouth!D15+Qwest!D15)</f>
        <v>-31.002455439533183</v>
      </c>
      <c r="E15">
        <f ca="1">-(Qnorth!E15+Qeast!E15+Qsouth!E15+Qwest!E15)</f>
        <v>-27.878229879562944</v>
      </c>
      <c r="F15">
        <f ca="1">-(Qnorth!F15+Qeast!F15+Qsouth!F15+Qwest!F15)</f>
        <v>-27.200517286953314</v>
      </c>
      <c r="G15">
        <f ca="1">-(Qnorth!G15+Qeast!G15+Qsouth!G15+Qwest!G15)</f>
        <v>-27.044479231252147</v>
      </c>
      <c r="H15">
        <f ca="1">-(Qnorth!H15+Qeast!H15+Qsouth!H15+Qwest!H15)</f>
        <v>-27.00348405004565</v>
      </c>
      <c r="I15">
        <f ca="1">-(Qnorth!I15+Qeast!I15+Qsouth!I15+Qwest!I15)</f>
        <v>-26.97148860963679</v>
      </c>
      <c r="J15">
        <f ca="1">-(Qnorth!J15+Qeast!J15+Qsouth!J15+Qwest!J15)</f>
        <v>-26.865750004360194</v>
      </c>
      <c r="K15">
        <f ca="1">-(Qnorth!K15+Qeast!K15+Qsouth!K15+Qwest!K15)</f>
        <v>-26.412799681495684</v>
      </c>
      <c r="L15">
        <f ca="1">-(Qnorth!L15+Qeast!L15+Qsouth!L15+Qwest!L15)</f>
        <v>-24.437812254242893</v>
      </c>
      <c r="M15">
        <f ca="1">-(Qnorth!M15+Qeast!M15+Qsouth!M15+Qwest!M15)</f>
        <v>-7.8277102587920098</v>
      </c>
    </row>
    <row r="16" spans="1:13" x14ac:dyDescent="0.2">
      <c r="C16">
        <f ca="1">-(Qnorth!C16+Qeast!C16+Qsouth!C16+Qwest!C16)</f>
        <v>-0.26193936771321713</v>
      </c>
      <c r="D16">
        <f ca="1">-(Qnorth!D16+Qeast!D16+Qsouth!D16+Qwest!D16)</f>
        <v>3.000000869748809</v>
      </c>
      <c r="E16">
        <f ca="1">-(Qnorth!E16+Qeast!E16+Qsouth!E16+Qwest!E16)</f>
        <v>3.000004906777443</v>
      </c>
      <c r="F16">
        <f ca="1">-(Qnorth!F16+Qeast!F16+Qsouth!F16+Qwest!F16)</f>
        <v>3.0000109069778045</v>
      </c>
      <c r="G16">
        <f ca="1">-(Qnorth!G16+Qeast!G16+Qsouth!G16+Qwest!G16)</f>
        <v>3.000014175093388</v>
      </c>
      <c r="H16">
        <f ca="1">-(Qnorth!H16+Qeast!H16+Qsouth!H16+Qwest!H16)</f>
        <v>3.0000118294607843</v>
      </c>
      <c r="I16">
        <f ca="1">-(Qnorth!I16+Qeast!I16+Qsouth!I16+Qwest!I16)</f>
        <v>3.0000144490267662</v>
      </c>
      <c r="J16">
        <f ca="1">-(Qnorth!J16+Qeast!J16+Qsouth!J16+Qwest!J16)</f>
        <v>3.0000098700571582</v>
      </c>
      <c r="K16">
        <f ca="1">-(Qnorth!K16+Qeast!K16+Qsouth!K16+Qwest!K16)</f>
        <v>3.0000075439150979</v>
      </c>
      <c r="L16">
        <f ca="1">-(Qnorth!L16+Qeast!L16+Qsouth!L16+Qwest!L16)</f>
        <v>2.9999900519346845</v>
      </c>
      <c r="M16">
        <f ca="1">-(Qnorth!M16+Qeast!M16+Qsouth!M16+Qwest!M16)</f>
        <v>1.5000152941084171</v>
      </c>
    </row>
    <row r="17" spans="3:13" x14ac:dyDescent="0.2">
      <c r="C17">
        <f ca="1">-(Qnorth!C17+Qeast!C17+Qsouth!C17+Qwest!C17)</f>
        <v>-0.37815956141824447</v>
      </c>
      <c r="D17">
        <f ca="1">-(Qnorth!D17+Qeast!D17+Qsouth!D17+Qwest!D17)</f>
        <v>3.0000034417636785</v>
      </c>
      <c r="E17">
        <f ca="1">-(Qnorth!E17+Qeast!E17+Qsouth!E17+Qwest!E17)</f>
        <v>3.0000025093677314</v>
      </c>
      <c r="F17">
        <f ca="1">-(Qnorth!F17+Qeast!F17+Qsouth!F17+Qwest!F17)</f>
        <v>3.00000198324497</v>
      </c>
      <c r="G17">
        <f ca="1">-(Qnorth!G17+Qeast!G17+Qsouth!G17+Qwest!G17)</f>
        <v>3.0000031270591156</v>
      </c>
      <c r="H17">
        <f ca="1">-(Qnorth!H17+Qeast!H17+Qsouth!H17+Qwest!H17)</f>
        <v>3.0000057984619488</v>
      </c>
      <c r="I17">
        <f ca="1">-(Qnorth!I17+Qeast!I17+Qsouth!I17+Qwest!I17)</f>
        <v>3.0000077813312833</v>
      </c>
      <c r="J17">
        <f ca="1">-(Qnorth!J17+Qeast!J17+Qsouth!J17+Qwest!J17)</f>
        <v>3.000004162752715</v>
      </c>
      <c r="K17">
        <f ca="1">-(Qnorth!K17+Qeast!K17+Qsouth!K17+Qwest!K17)</f>
        <v>2.9999930443571516</v>
      </c>
      <c r="L17">
        <f ca="1">-(Qnorth!L17+Qeast!L17+Qsouth!L17+Qwest!L17)</f>
        <v>3.0000196652640732</v>
      </c>
      <c r="M17">
        <f ca="1">-(Qnorth!M17+Qeast!M17+Qsouth!M17+Qwest!M17)</f>
        <v>1.5000020943627153</v>
      </c>
    </row>
    <row r="18" spans="3:13" x14ac:dyDescent="0.2">
      <c r="C18">
        <f ca="1">-(Qnorth!C18+Qeast!C18+Qsouth!C18+Qwest!C18)</f>
        <v>-0.46030759181006253</v>
      </c>
      <c r="D18">
        <f ca="1">-(Qnorth!D18+Qeast!D18+Qsouth!D18+Qwest!D18)</f>
        <v>3.0000004121996637</v>
      </c>
      <c r="E18">
        <f ca="1">-(Qnorth!E18+Qeast!E18+Qsouth!E18+Qwest!E18)</f>
        <v>2.9999981512903107</v>
      </c>
      <c r="F18">
        <f ca="1">-(Qnorth!F18+Qeast!F18+Qsouth!F18+Qwest!F18)</f>
        <v>2.9999911579290313</v>
      </c>
      <c r="G18">
        <f ca="1">-(Qnorth!G18+Qeast!G18+Qsouth!G18+Qwest!G18)</f>
        <v>2.9999853850946501</v>
      </c>
      <c r="H18">
        <f ca="1">-(Qnorth!H18+Qeast!H18+Qsouth!H18+Qwest!H18)</f>
        <v>2.9999855134973306</v>
      </c>
      <c r="I18">
        <f ca="1">-(Qnorth!I18+Qeast!I18+Qsouth!I18+Qwest!I18)</f>
        <v>2.9999851845350305</v>
      </c>
      <c r="J18">
        <f ca="1">-(Qnorth!J18+Qeast!J18+Qsouth!J18+Qwest!J18)</f>
        <v>2.9999787708072736</v>
      </c>
      <c r="K18">
        <f ca="1">-(Qnorth!K18+Qeast!K18+Qsouth!K18+Qwest!K18)</f>
        <v>2.9999928328627163</v>
      </c>
      <c r="L18">
        <f ca="1">-(Qnorth!L18+Qeast!L18+Qsouth!L18+Qwest!L18)</f>
        <v>2.9999816935633135</v>
      </c>
      <c r="M18">
        <f ca="1">-(Qnorth!M18+Qeast!M18+Qsouth!M18+Qwest!M18)</f>
        <v>1.4999839350466164</v>
      </c>
    </row>
    <row r="19" spans="3:13" x14ac:dyDescent="0.2">
      <c r="C19">
        <f ca="1">-(Qnorth!C19+Qeast!C19+Qsouth!C19+Qwest!C19)</f>
        <v>-0.5092533350394568</v>
      </c>
      <c r="D19">
        <f ca="1">-(Qnorth!D19+Qeast!D19+Qsouth!D19+Qwest!D19)</f>
        <v>2.999999358470224</v>
      </c>
      <c r="E19">
        <f ca="1">-(Qnorth!E19+Qeast!E19+Qsouth!E19+Qwest!E19)</f>
        <v>3.0000017488263877</v>
      </c>
      <c r="F19">
        <f ca="1">-(Qnorth!F19+Qeast!F19+Qsouth!F19+Qwest!F19)</f>
        <v>3.0000028344460272</v>
      </c>
      <c r="G19">
        <f ca="1">-(Qnorth!G19+Qeast!G19+Qsouth!G19+Qwest!G19)</f>
        <v>2.9999999137523323</v>
      </c>
      <c r="H19">
        <f ca="1">-(Qnorth!H19+Qeast!H19+Qsouth!H19+Qwest!H19)</f>
        <v>2.9999986081750034</v>
      </c>
      <c r="I19">
        <f ca="1">-(Qnorth!I19+Qeast!I19+Qsouth!I19+Qwest!I19)</f>
        <v>2.9999945030960946</v>
      </c>
      <c r="J19">
        <f ca="1">-(Qnorth!J19+Qeast!J19+Qsouth!J19+Qwest!J19)</f>
        <v>3.0000009663994645</v>
      </c>
      <c r="K19">
        <f ca="1">-(Qnorth!K19+Qeast!K19+Qsouth!K19+Qwest!K19)</f>
        <v>2.9999988667105351</v>
      </c>
      <c r="L19">
        <f ca="1">-(Qnorth!L19+Qeast!L19+Qsouth!L19+Qwest!L19)</f>
        <v>2.9999822098097564</v>
      </c>
      <c r="M19">
        <f ca="1">-(Qnorth!M19+Qeast!M19+Qsouth!M19+Qwest!M19)</f>
        <v>1.5000009197298123</v>
      </c>
    </row>
    <row r="20" spans="3:13" x14ac:dyDescent="0.2">
      <c r="C20">
        <f ca="1">-(Qnorth!C20+Qeast!C20+Qsouth!C20+Qwest!C20)</f>
        <v>-0.26275587484281093</v>
      </c>
      <c r="D20">
        <f ca="1">-(Qnorth!D20+Qeast!D20+Qsouth!D20+Qwest!D20)</f>
        <v>1.4999996259551369</v>
      </c>
      <c r="E20">
        <f ca="1">-(Qnorth!E20+Qeast!E20+Qsouth!E20+Qwest!E20)</f>
        <v>1.4999997519663397</v>
      </c>
      <c r="F20">
        <f ca="1">-(Qnorth!F20+Qeast!F20+Qsouth!F20+Qwest!F20)</f>
        <v>1.5000002295538786</v>
      </c>
      <c r="G20">
        <f ca="1">-(Qnorth!G20+Qeast!G20+Qsouth!G20+Qwest!G20)</f>
        <v>1.5000028588236498</v>
      </c>
      <c r="H20">
        <f ca="1">-(Qnorth!H20+Qeast!H20+Qsouth!H20+Qwest!H20)</f>
        <v>1.500004913438127</v>
      </c>
      <c r="I20">
        <f ca="1">-(Qnorth!I20+Qeast!I20+Qsouth!I20+Qwest!I20)</f>
        <v>1.5000076150349653</v>
      </c>
      <c r="J20">
        <f ca="1">-(Qnorth!J20+Qeast!J20+Qsouth!J20+Qwest!J20)</f>
        <v>1.5000072156468733</v>
      </c>
      <c r="K20">
        <f ca="1">-(Qnorth!K20+Qeast!K20+Qsouth!K20+Qwest!K20)</f>
        <v>1.5000054687504791</v>
      </c>
      <c r="L20">
        <f ca="1">-(Qnorth!L20+Qeast!L20+Qsouth!L20+Qwest!L20)</f>
        <v>1.5000241733311048</v>
      </c>
      <c r="M20">
        <f ca="1">-(Qnorth!M20+Qeast!M20+Qsouth!M20+Qwest!M20)</f>
        <v>0.75001011017663988</v>
      </c>
    </row>
    <row r="25" spans="3:13" x14ac:dyDescent="0.2">
      <c r="C25" s="2" t="s">
        <v>53</v>
      </c>
      <c r="G25" s="2" t="s">
        <v>57</v>
      </c>
    </row>
    <row r="26" spans="3:13" x14ac:dyDescent="0.2">
      <c r="C26" t="s">
        <v>21</v>
      </c>
      <c r="E26">
        <f ca="1">SUMIF(C10:C20,"&gt;0")</f>
        <v>0</v>
      </c>
      <c r="G26" s="2">
        <f ca="1">SUMIF(D15:M15,"&lt;0")-SUM(qext!D15:M15)</f>
        <v>-281.14472669587479</v>
      </c>
    </row>
    <row r="27" spans="3:13" x14ac:dyDescent="0.2">
      <c r="C27" t="s">
        <v>22</v>
      </c>
      <c r="E27">
        <f ca="1">SUMIF(C10:C20,"&lt;0")</f>
        <v>-3.8552357628557026</v>
      </c>
      <c r="G27" s="2">
        <f ca="1">SUMIF(D15:M15,"&gt;0")</f>
        <v>0</v>
      </c>
    </row>
  </sheetData>
  <phoneticPr fontId="0" type="noConversion"/>
  <conditionalFormatting sqref="C28:W30 C26:D27 C10:W25 F26:W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/>
  <pageMargins left="0.75" right="0.75" top="1" bottom="1" header="0.5" footer="0.5"/>
  <pageSetup paperSize="9" orientation="landscape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H</vt:lpstr>
      <vt:lpstr>kd</vt:lpstr>
      <vt:lpstr>qext</vt:lpstr>
      <vt:lpstr>HorCap</vt:lpstr>
      <vt:lpstr>VerCap</vt:lpstr>
      <vt:lpstr>north</vt:lpstr>
      <vt:lpstr>east</vt:lpstr>
      <vt:lpstr>south</vt:lpstr>
      <vt:lpstr>west</vt:lpstr>
      <vt:lpstr>Qwest</vt:lpstr>
      <vt:lpstr>Qnorth</vt:lpstr>
      <vt:lpstr>Qsouth</vt:lpstr>
      <vt:lpstr>Qeast</vt:lpstr>
      <vt:lpstr>wbal</vt:lpstr>
      <vt:lpstr>man</vt:lpstr>
      <vt:lpstr>relaxf</vt:lpstr>
      <vt:lpstr>resist</vt:lpstr>
      <vt:lpstr>So</vt:lpstr>
      <vt:lpstr>well</vt:lpstr>
      <vt:lpstr>width</vt:lpstr>
    </vt:vector>
  </TitlesOfParts>
  <Company>Wageningen 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Wageningen UR User</dc:creator>
  <cp:lastModifiedBy>Bier, George</cp:lastModifiedBy>
  <cp:lastPrinted>2002-01-24T15:54:55Z</cp:lastPrinted>
  <dcterms:created xsi:type="dcterms:W3CDTF">2001-10-01T09:21:57Z</dcterms:created>
  <dcterms:modified xsi:type="dcterms:W3CDTF">2026-02-04T12:29:26Z</dcterms:modified>
</cp:coreProperties>
</file>